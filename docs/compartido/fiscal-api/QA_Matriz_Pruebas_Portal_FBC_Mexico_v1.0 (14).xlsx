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ivotTables/pivotTable1.xml" ContentType="application/vnd.openxmlformats-officedocument.spreadsheetml.pivotTab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hidePivotFieldList="1"/>
  <mc:AlternateContent xmlns:mc="http://schemas.openxmlformats.org/markup-compatibility/2006">
    <mc:Choice Requires="x15">
      <x15ac:absPath xmlns:x15ac="http://schemas.microsoft.com/office/spreadsheetml/2010/11/ac" url="https://falabella-my.sharepoint.com/personal/iscortesz_sodimac_com_mx/Documents/Aplicaciones/Escritorio/Trabajo/"/>
    </mc:Choice>
  </mc:AlternateContent>
  <xr:revisionPtr revIDLastSave="0" documentId="8_{594D5485-1953-4490-AB77-9732C6E4C973}" xr6:coauthVersionLast="47" xr6:coauthVersionMax="47" xr10:uidLastSave="{00000000-0000-0000-0000-000000000000}"/>
  <bookViews>
    <workbookView xWindow="-110" yWindow="-110" windowWidth="19420" windowHeight="11500" firstSheet="2" activeTab="2" xr2:uid="{00000000-000D-0000-FFFF-FFFF00000000}"/>
  </bookViews>
  <sheets>
    <sheet name="Dashboard" sheetId="1" r:id="rId1"/>
    <sheet name="Matriz de Pruebas" sheetId="2" r:id="rId2"/>
    <sheet name="Listado Issue Abiertos" sheetId="9" r:id="rId3"/>
    <sheet name="Carga por Responsable" sheetId="16" r:id="rId4"/>
    <sheet name="Total" sheetId="14" r:id="rId5"/>
    <sheet name="Presentacion" sheetId="10" r:id="rId6"/>
    <sheet name="CatModulo" sheetId="4" r:id="rId7"/>
    <sheet name="Instrucciones" sheetId="3" r:id="rId8"/>
    <sheet name="Listado Issue Abiertos_v1.0" sheetId="15" state="hidden" r:id="rId9"/>
  </sheets>
  <definedNames>
    <definedName name="_xlnm._FilterDatabase" localSheetId="2" hidden="1">'Listado Issue Abiertos'!$A$1:$K$49</definedName>
    <definedName name="_xlnm._FilterDatabase" localSheetId="8" hidden="1">'Listado Issue Abiertos_v1.0'!$A$1:$K$317</definedName>
    <definedName name="_xlnm._FilterDatabase" localSheetId="1" hidden="1">'Matriz de Pruebas'!$A$2:$U$710</definedName>
    <definedName name="Finanzas">CatModulo!$B$2:$B$8</definedName>
    <definedName name="Fiscal">CatModulo!$C$2:$C$4</definedName>
    <definedName name="Impacto">CatModulo!$J$2:$J$4</definedName>
    <definedName name="Modulo">CatModulo!$A$2:$A$4</definedName>
    <definedName name="Probabilidad">CatModulo!$K$2:$K$4</definedName>
    <definedName name="Tipo">CatModulo!$L$1:$L$5</definedName>
    <definedName name="Utilerias">CatModulo!$D$2:$D$4</definedName>
  </definedNames>
  <calcPr calcId="191028"/>
  <pivotCaches>
    <pivotCache cacheId="92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 i="16" l="1"/>
  <c r="E4" i="16"/>
  <c r="D4" i="16"/>
  <c r="C4" i="16"/>
  <c r="E6" i="16"/>
  <c r="D6" i="16"/>
  <c r="C6" i="16"/>
  <c r="E7" i="16"/>
  <c r="D7" i="16"/>
  <c r="C7" i="16"/>
  <c r="E5" i="16"/>
  <c r="D5" i="16"/>
  <c r="C5" i="16"/>
  <c r="E9" i="16"/>
  <c r="D9" i="16"/>
  <c r="C9" i="16"/>
  <c r="E8" i="16"/>
  <c r="D8" i="16"/>
  <c r="B4" i="16"/>
  <c r="G4" i="16" s="1"/>
  <c r="B6" i="16"/>
  <c r="G6" i="16" s="1"/>
  <c r="B7" i="16"/>
  <c r="G7" i="16" s="1"/>
  <c r="B5" i="16"/>
  <c r="G5" i="16" s="1"/>
  <c r="B9" i="16"/>
  <c r="G9" i="16" s="1"/>
  <c r="C8" i="16"/>
  <c r="B8" i="16"/>
  <c r="G8" i="16" s="1"/>
  <c r="E14" i="10"/>
  <c r="C15" i="10"/>
  <c r="D14" i="10"/>
  <c r="B15" i="10"/>
  <c r="D11" i="10"/>
  <c r="E3" i="10"/>
  <c r="E4" i="10"/>
  <c r="E5" i="10"/>
  <c r="E6" i="10"/>
  <c r="E7" i="10"/>
  <c r="E8" i="10"/>
  <c r="E9" i="10"/>
  <c r="E10" i="10"/>
  <c r="E11" i="10"/>
  <c r="E12" i="10"/>
  <c r="E2" i="10"/>
  <c r="D6" i="10"/>
  <c r="D7" i="10"/>
  <c r="D8" i="10"/>
  <c r="D9" i="10"/>
  <c r="D10" i="10"/>
  <c r="D12" i="10"/>
  <c r="D13" i="10"/>
  <c r="D4" i="10"/>
  <c r="D5" i="10"/>
  <c r="D3" i="10"/>
  <c r="D2" i="10"/>
  <c r="B18" i="1"/>
  <c r="B17" i="1"/>
  <c r="B16" i="1"/>
  <c r="B15" i="1"/>
  <c r="B14" i="1"/>
  <c r="N13" i="1" a="1"/>
  <c r="N12" i="1" a="1"/>
  <c r="N11" i="1" a="1"/>
  <c r="N10" i="1" a="1"/>
  <c r="M13" i="1" a="1"/>
  <c r="M12" i="1" a="1"/>
  <c r="M11" i="1" a="1"/>
  <c r="M10" i="1" a="1"/>
  <c r="L13" i="1"/>
  <c r="L12" i="1"/>
  <c r="L11" i="1"/>
  <c r="L10" i="1"/>
  <c r="K6" i="1"/>
  <c r="I7" i="1"/>
  <c r="H7" i="1"/>
  <c r="G7" i="1"/>
  <c r="F7" i="1"/>
  <c r="E7" i="1"/>
  <c r="D7" i="1"/>
  <c r="C7" i="1"/>
  <c r="B7" i="1"/>
  <c r="A7" i="1"/>
  <c r="G11" i="16" l="1"/>
  <c r="B11" i="16"/>
  <c r="E11" i="16"/>
  <c r="C11" i="16"/>
  <c r="D11" i="16"/>
  <c r="E15" i="10"/>
  <c r="D15" i="10"/>
  <c r="D18" i="1"/>
  <c r="C18" i="1"/>
  <c r="D17" i="1"/>
  <c r="C17" i="1"/>
  <c r="D16" i="1"/>
  <c r="C16" i="1"/>
  <c r="D15" i="1"/>
  <c r="C15" i="1"/>
  <c r="D14" i="1"/>
  <c r="C14" i="1"/>
  <c r="A10" i="1"/>
  <c r="N13" i="1"/>
  <c r="M13" i="1"/>
  <c r="N12" i="1"/>
  <c r="M12" i="1"/>
  <c r="N11" i="1"/>
  <c r="M11" i="1"/>
  <c r="N10" i="1"/>
  <c r="M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tc={A7DF3909-44B7-43D6-9317-26F41932ADCC}</author>
    <author>tc={82AC2915-5F27-46EF-A794-CDB42EC851F6}</author>
  </authors>
  <commentList>
    <comment ref="B334" authorId="0" shapeId="0" xr:uid="{A7DF3909-44B7-43D6-9317-26F41932ADCC}">
      <text>
        <t>[Threaded comment]
Your version of Excel allows you to read this threaded comment; however, any edits to it will get removed if the file is opened in a newer version of Excel. Learn more: https://go.microsoft.com/fwlink/?linkid=870924
Comment:
    Posible mal configuración de "Permisos x Evento"</t>
      </text>
    </comment>
    <comment ref="B335" authorId="1" shapeId="0" xr:uid="{82AC2915-5F27-46EF-A794-CDB42EC851F6}">
      <text>
        <t>[Threaded comment]
Your version of Excel allows you to read this threaded comment; however, any edits to it will get removed if the file is opened in a newer version of Excel. Learn more: https://go.microsoft.com/fwlink/?linkid=870924
Comment:
    Posible mal configuración de "Permisos x Evento"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tc={D1615276-5E3C-46B6-A5CE-AE900FCCE57A}</author>
    <author>IVAN SAUL CORTES ZAMORA</author>
  </authors>
  <commentList>
    <comment ref="A44" authorId="0" shapeId="0" xr:uid="{D1615276-5E3C-46B6-A5CE-AE900FCCE57A}">
      <text>
        <t>[Threaded comment]
Your version of Excel allows you to read this threaded comment; however, any edits to it will get removed if the file is opened in a newer version of Excel. Learn more: https://go.microsoft.com/fwlink/?linkid=870924
Comment:
    - EVT0127 Nuevo Elemento
- EVT0128 Cambiar estatus del elemento
- EVT0129 Ver Conversión
- EVT0130 Nueva Conversión
- EVT0131 Cambiar conversión principal
- EVT0132 Borrar
- EVT0133 Borrar Seleccionados</t>
      </text>
    </comment>
    <comment ref="A213" authorId="1" shapeId="0" xr:uid="{BF183F51-914E-4D71-97AC-0BD89104ADBB}">
      <text>
        <r>
          <rPr>
            <b/>
            <sz val="9"/>
            <color indexed="81"/>
            <rFont val="Tahoma"/>
            <family val="2"/>
          </rPr>
          <t>IVAN SAUL CORTES ZAMORA:</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IVAN SAUL CORTES ZAMORA</author>
  </authors>
  <commentList>
    <comment ref="A264" authorId="0" shapeId="0" xr:uid="{F22CB42D-C85E-473A-8F49-3F635FE738B6}">
      <text>
        <r>
          <rPr>
            <b/>
            <sz val="9"/>
            <color indexed="81"/>
            <rFont val="Tahoma"/>
            <family val="2"/>
          </rPr>
          <t>IVAN SAUL CORTES ZAMORA:</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<sst xmlns="http://schemas.openxmlformats.org/spreadsheetml/2006/main" count="14439" uniqueCount="2889">
  <si>
    <t>📊  DASHBOARD DE AVANCE DE PRUEBAS - PORTAL DE PROVEEDORES FBC</t>
  </si>
  <si>
    <t>RESUMEN EJECUTIVO</t>
  </si>
  <si>
    <t>Total Escenarios</t>
  </si>
  <si>
    <t>✅  Pasó</t>
  </si>
  <si>
    <t>❌  Falló</t>
  </si>
  <si>
    <t>🔄  En Progreso</t>
  </si>
  <si>
    <t>⏳  Pendiente</t>
  </si>
  <si>
    <t>🚫  Bloqueado</t>
  </si>
  <si>
    <t>🐛  Con Bug Jira</t>
  </si>
  <si>
    <t>% Avance (Pasó)</t>
  </si>
  <si>
    <t>% Abiertos/Fallidos</t>
  </si>
  <si>
    <t>⚠️  ESCENARIOS FALLIDOS O BLOQUEADO</t>
  </si>
  <si>
    <t>DESGLOSE POR PRIORIDAD</t>
  </si>
  <si>
    <t>BARRA DE AVANCE GENERAL</t>
  </si>
  <si>
    <t>Prioridad</t>
  </si>
  <si>
    <t>Total</t>
  </si>
  <si>
    <t>Fallaron</t>
  </si>
  <si>
    <t>% Fallo</t>
  </si>
  <si>
    <t>Critico</t>
  </si>
  <si>
    <t>Alta</t>
  </si>
  <si>
    <t>DESGLOSE POR ESTADO</t>
  </si>
  <si>
    <t>Media</t>
  </si>
  <si>
    <t>Estado</t>
  </si>
  <si>
    <t>Cantidad</t>
  </si>
  <si>
    <t>% del Total</t>
  </si>
  <si>
    <t>Tendencia</t>
  </si>
  <si>
    <t>Baja</t>
  </si>
  <si>
    <t>🧪  MATRIZ DE SEGUIMIENTO DE PRUEBAS</t>
  </si>
  <si>
    <t>ID</t>
  </si>
  <si>
    <t>Escenario de Prueba</t>
  </si>
  <si>
    <t>Módulo</t>
  </si>
  <si>
    <t>Submódulo</t>
  </si>
  <si>
    <t>Resultado Esperado</t>
  </si>
  <si>
    <t>Resultado Obtenido</t>
  </si>
  <si>
    <t>Vinculación Bug
(ID Jira)</t>
  </si>
  <si>
    <t>Responsable QA</t>
  </si>
  <si>
    <t>Responsable Negocio (UAT)</t>
  </si>
  <si>
    <t>Responsable Dev</t>
  </si>
  <si>
    <t>Notas / Evidencia</t>
  </si>
  <si>
    <t>Fecha Ejecución</t>
  </si>
  <si>
    <t>Rol Usuario</t>
  </si>
  <si>
    <t>Pasos</t>
  </si>
  <si>
    <t>Impacto</t>
  </si>
  <si>
    <t>Probabilidad</t>
  </si>
  <si>
    <t>Escenario Dependiente</t>
  </si>
  <si>
    <t>Tipo Escenario</t>
  </si>
  <si>
    <t>Tipo</t>
  </si>
  <si>
    <t>REC 001</t>
  </si>
  <si>
    <t>Validar botón primario único azul al consultar recepciones Disponibles con filtro fecha válido</t>
  </si>
  <si>
    <t>Finanzas</t>
  </si>
  <si>
    <t>Recepciones</t>
  </si>
  <si>
    <t>Pendiente</t>
  </si>
  <si>
    <t>Solo un botón primario visible en pantalla el "Exportar CSV"</t>
  </si>
  <si>
    <t>Marco Vezquez</t>
  </si>
  <si>
    <t>Nelva Flores</t>
  </si>
  <si>
    <t>David Montes</t>
  </si>
  <si>
    <t>Evidencia visual UI</t>
  </si>
  <si>
    <t>Proveedor – Mercancía</t>
  </si>
  <si>
    <t>1.Login 2.Seleccionar fechas válidas 3.Consultar 4.Validar botones</t>
  </si>
  <si>
    <t>Bajo</t>
  </si>
  <si>
    <t>Consulta</t>
  </si>
  <si>
    <t>FrontEnd</t>
  </si>
  <si>
    <t>REC 002</t>
  </si>
  <si>
    <t>Por default no presentar información hasta que el usuario seleccione los criterios de busqueda</t>
  </si>
  <si>
    <t>Sin consulta de información</t>
  </si>
  <si>
    <t>Cualquie Rol</t>
  </si>
  <si>
    <t>Seleccionar opción de recepción</t>
  </si>
  <si>
    <t>REC 003</t>
  </si>
  <si>
    <t>Validar el botón de limpiar, el cual limpia filtros de busqueda, consulta e información que exista cargada en pantalla</t>
  </si>
  <si>
    <t>Limpia la pantalla de toda la información cargada</t>
  </si>
  <si>
    <t>REC 004</t>
  </si>
  <si>
    <t>El campo de id de proveedor llenarno por default cuando tenga el rol de proveedor</t>
  </si>
  <si>
    <t>Id del proveedor precargado</t>
  </si>
  <si>
    <t>REC 005</t>
  </si>
  <si>
    <t>El campo de id de proveedor permitir seleccionar cuando tenga el rol diferente a proveedor</t>
  </si>
  <si>
    <t>Campo de captura activo</t>
  </si>
  <si>
    <t>Rol diferente a proveedor</t>
  </si>
  <si>
    <t>REC 006</t>
  </si>
  <si>
    <t>Modal obligatorio cancelar recepción Disponible sin factura</t>
  </si>
  <si>
    <t>Modal confirmación obligatorio antes de cancelar</t>
  </si>
  <si>
    <t>Captura modal</t>
  </si>
  <si>
    <t>1.Filtrar 2.Seleccionar recepción 3.Cancelar</t>
  </si>
  <si>
    <t>Alto</t>
  </si>
  <si>
    <t>Actualización</t>
  </si>
  <si>
    <t>REC 007</t>
  </si>
  <si>
    <t>Calendario de filtro de fechas fijo sin desplazamiento</t>
  </si>
  <si>
    <t>Calendario no genera scroll UI</t>
  </si>
  <si>
    <t>Proveedor – Transporte</t>
  </si>
  <si>
    <t>1.Abrir calendario</t>
  </si>
  <si>
    <t>Medio</t>
  </si>
  <si>
    <t>REC 008</t>
  </si>
  <si>
    <t>Validar formato moneda y fecha</t>
  </si>
  <si>
    <t>$000.00 y dd/mm/yyyy correctos</t>
  </si>
  <si>
    <t>Proveedor – Servicios</t>
  </si>
  <si>
    <t>1.Consultar registros</t>
  </si>
  <si>
    <t>REC 009</t>
  </si>
  <si>
    <t>Validar los colores de cada estatus de la recepción que retorna el API Catálogo de catálogos</t>
  </si>
  <si>
    <t>Colores consistentes por estatus</t>
  </si>
  <si>
    <t>Proveedor – Indirectos</t>
  </si>
  <si>
    <t>1.Consultar grid</t>
  </si>
  <si>
    <t>REC 010</t>
  </si>
  <si>
    <t>Validar paginación centrada con 10 registros exactos</t>
  </si>
  <si>
    <t>Paginación centrada y fija en 10</t>
  </si>
  <si>
    <t>Analista Financiero – General</t>
  </si>
  <si>
    <t>1.Consultar lista</t>
  </si>
  <si>
    <t>REC 011</t>
  </si>
  <si>
    <t>Persistencia filtros navegación de pantalla secundaria primaria</t>
  </si>
  <si>
    <t>Filtros se mantienen</t>
  </si>
  <si>
    <t>Analista Financiero – Especializado</t>
  </si>
  <si>
    <t>1.Filtrar 2.Navegar 3.Regresar</t>
  </si>
  <si>
    <t>REC 012</t>
  </si>
  <si>
    <t>Validar columnas completas Admin Funcional</t>
  </si>
  <si>
    <t>Todas columnas visibles</t>
  </si>
  <si>
    <t>Administrador Funcional</t>
  </si>
  <si>
    <t>REC 013</t>
  </si>
  <si>
    <t>Mensaje UX sin resultados</t>
  </si>
  <si>
    <t>Mensaje claro sin error técnico</t>
  </si>
  <si>
    <t>Comprador</t>
  </si>
  <si>
    <t>1.Buscar UUID inválido</t>
  </si>
  <si>
    <t>Error</t>
  </si>
  <si>
    <t>REC 014</t>
  </si>
  <si>
    <t>Calendario sin movimiento rol Gerente Transporte</t>
  </si>
  <si>
    <t>UI estable</t>
  </si>
  <si>
    <t>Gerente de Transporte</t>
  </si>
  <si>
    <t>1.Abrir fechas</t>
  </si>
  <si>
    <t>REC 015</t>
  </si>
  <si>
    <t>Consulta válida filtros fecha+estatus Disponible con factura</t>
  </si>
  <si>
    <t>Datos correctos retornados</t>
  </si>
  <si>
    <t>1.Aplicar filtros</t>
  </si>
  <si>
    <t>REC 016</t>
  </si>
  <si>
    <t>Consulta UUID exacto Consumida manual sin factura</t>
  </si>
  <si>
    <t>Registro único correcto</t>
  </si>
  <si>
    <t>1.Ingresar UUID</t>
  </si>
  <si>
    <t>REC 017</t>
  </si>
  <si>
    <t>Consulta documento parcial con múltiples coincidencias</t>
  </si>
  <si>
    <t>Registros filtrados correctamente</t>
  </si>
  <si>
    <t>1.Ingresar doc parcial</t>
  </si>
  <si>
    <t>REC 018</t>
  </si>
  <si>
    <t>Consulta acceso restringido tipo proveedor distinto</t>
  </si>
  <si>
    <t>Acceso denegado</t>
  </si>
  <si>
    <t>1.Intentar visualizar otro tipo</t>
  </si>
  <si>
    <t>Restricción</t>
  </si>
  <si>
    <t>REC 019</t>
  </si>
  <si>
    <t>Consulta rango fecha límite 6 meses exacto</t>
  </si>
  <si>
    <t>Consulta permitida</t>
  </si>
  <si>
    <t>1.Definir rango máximo</t>
  </si>
  <si>
    <t>REC 020</t>
  </si>
  <si>
    <t>Consulta paginación &gt;10 registros</t>
  </si>
  <si>
    <t>Navegación correcta entre páginas</t>
  </si>
  <si>
    <t>1.Navegar páginas</t>
  </si>
  <si>
    <t>REC 021</t>
  </si>
  <si>
    <t>Consulta proveedores asignados con múltiples tipos</t>
  </si>
  <si>
    <t>Visualiza solo autorizados</t>
  </si>
  <si>
    <t>Gerente Financiero</t>
  </si>
  <si>
    <t>1.Filtrar proveedores</t>
  </si>
  <si>
    <t>REC 022</t>
  </si>
  <si>
    <t>Consulta proveedores transporte asignados</t>
  </si>
  <si>
    <t>Solo transporte visible</t>
  </si>
  <si>
    <t>1.Consultar</t>
  </si>
  <si>
    <t>REC 023</t>
  </si>
  <si>
    <t>Exportación CSV nombre correcto con timestamp</t>
  </si>
  <si>
    <t>Formato recepcion-yyyy-mm-dd-hh24-mi-ss.csv</t>
  </si>
  <si>
    <t>1.Exportar CSV</t>
  </si>
  <si>
    <t>REC 024</t>
  </si>
  <si>
    <t>Exportación XLSX alto volumen integridad datos</t>
  </si>
  <si>
    <t>Archivo completo sin pérdida</t>
  </si>
  <si>
    <t>Administrador del Sistema</t>
  </si>
  <si>
    <t>1.Exportar XLSX</t>
  </si>
  <si>
    <t>REC 025</t>
  </si>
  <si>
    <t>Llevar a una pantalla secundaria para relacionar factura CFDI válido Disponible</t>
  </si>
  <si>
    <t>Relación exitosa</t>
  </si>
  <si>
    <t>1.Seleccionar recepción 2.Relacionar</t>
  </si>
  <si>
    <t>REC011</t>
  </si>
  <si>
    <t>REC 026</t>
  </si>
  <si>
    <t>Llevar a una pantalla secundaria para relación manual UUID válido coincidente</t>
  </si>
  <si>
    <t>Relación completada</t>
  </si>
  <si>
    <t>1.Ingresar UUID válido</t>
  </si>
  <si>
    <t>REC012</t>
  </si>
  <si>
    <t>REC 027</t>
  </si>
  <si>
    <t>Llevar a una pantalla secundaria para ver artículos en Consumida con detalle completo</t>
  </si>
  <si>
    <t>Información correcta</t>
  </si>
  <si>
    <t>1.Ver artículos</t>
  </si>
  <si>
    <t>REC 028</t>
  </si>
  <si>
    <t>Llevar a una pantalla secundaria para cancelar recepción Disponible sin factura</t>
  </si>
  <si>
    <t>Estatus cambia a 7</t>
  </si>
  <si>
    <t>1.Cancelar</t>
  </si>
  <si>
    <t>REC 029</t>
  </si>
  <si>
    <t>Transición válida Disponible→Consumida</t>
  </si>
  <si>
    <t>Cambio correcto estatus</t>
  </si>
  <si>
    <t>1.Ejecutar acción</t>
  </si>
  <si>
    <t>REC 030</t>
  </si>
  <si>
    <t>Transición Consumida→Contable</t>
  </si>
  <si>
    <t>Estatus 3 aplicado</t>
  </si>
  <si>
    <t>1.Procesar contable</t>
  </si>
  <si>
    <t>REC025</t>
  </si>
  <si>
    <t>REC 031</t>
  </si>
  <si>
    <t>Flujo Contable→Pago</t>
  </si>
  <si>
    <t>Estatus 5</t>
  </si>
  <si>
    <t>1.Procesar pago</t>
  </si>
  <si>
    <t>REC026</t>
  </si>
  <si>
    <t>REC 032</t>
  </si>
  <si>
    <t>Flujo Pago→Pagada cierre</t>
  </si>
  <si>
    <t>Estatus 6</t>
  </si>
  <si>
    <t>1.Validar pago</t>
  </si>
  <si>
    <t>REC027</t>
  </si>
  <si>
    <t>REC 033</t>
  </si>
  <si>
    <t>Rechazo contable desde Consumida</t>
  </si>
  <si>
    <t>Estatus 4</t>
  </si>
  <si>
    <t>1.Rechazar</t>
  </si>
  <si>
    <t>REC 034</t>
  </si>
  <si>
    <t>Cancelar recepción Pagada no permitido</t>
  </si>
  <si>
    <t>Acción bloqueada</t>
  </si>
  <si>
    <t>1.Intentar cancelar</t>
  </si>
  <si>
    <t>REC 035</t>
  </si>
  <si>
    <t>Relacionar factura en Cancelada no permitido</t>
  </si>
  <si>
    <t>Bloqueo acción</t>
  </si>
  <si>
    <t>1.Intentar relacionar</t>
  </si>
  <si>
    <t>REC 036</t>
  </si>
  <si>
    <t>Validar invisibilidad de estatus de recepción Borrado lógico</t>
  </si>
  <si>
    <t>Registro no visible</t>
  </si>
  <si>
    <t>1.Buscar registro</t>
  </si>
  <si>
    <t>REC 037</t>
  </si>
  <si>
    <t>Transición inválida Disponible→Pagada</t>
  </si>
  <si>
    <t>API rechaza operación</t>
  </si>
  <si>
    <t>1.Intentar salto</t>
  </si>
  <si>
    <t>REC 038</t>
  </si>
  <si>
    <t>Acceso datos proveedor distinto bloqueado</t>
  </si>
  <si>
    <t>1.Intentar acceso</t>
  </si>
  <si>
    <t>Seguridad</t>
  </si>
  <si>
    <t>REC 039</t>
  </si>
  <si>
    <t>Columnas sensibles de columnas ocultas para rol de proveedor (Columna Id Proveedor, Nombre Proveedor)</t>
  </si>
  <si>
    <t>Columnas restringidas</t>
  </si>
  <si>
    <t>Gerente Comercial</t>
  </si>
  <si>
    <t>1.Validar columnas</t>
  </si>
  <si>
    <t>REC 040</t>
  </si>
  <si>
    <t>Acceso URL sin autenticación</t>
  </si>
  <si>
    <t>Redirección login</t>
  </si>
  <si>
    <t>Usuario anónimo</t>
  </si>
  <si>
    <t>1.Abrir URL</t>
  </si>
  <si>
    <t>REC 041</t>
  </si>
  <si>
    <t>Manipulación payload UUID backend</t>
  </si>
  <si>
    <t>Rechazo seguridad</t>
  </si>
  <si>
    <t>1.Alterar request</t>
  </si>
  <si>
    <t>REC 042</t>
  </si>
  <si>
    <t>UUID inválido longitud incorrecta</t>
  </si>
  <si>
    <t>Validación error</t>
  </si>
  <si>
    <t>1.Ingresar inválido</t>
  </si>
  <si>
    <t>REC 043</t>
  </si>
  <si>
    <t>Fecha mayor 6 meses bloqueada</t>
  </si>
  <si>
    <t>Error validación</t>
  </si>
  <si>
    <t>1.Filtrar fechas inválidas</t>
  </si>
  <si>
    <t>REC 044</t>
  </si>
  <si>
    <t>Consulta sin filtros bloqueada</t>
  </si>
  <si>
    <t>No ejecuta consulta</t>
  </si>
  <si>
    <t>1.Buscar sin filtros</t>
  </si>
  <si>
    <t>REC 045</t>
  </si>
  <si>
    <t>Duplicidad relación factura bloqueada</t>
  </si>
  <si>
    <t>No permite duplicar</t>
  </si>
  <si>
    <t>1.Relacionar 2.Reintentar</t>
  </si>
  <si>
    <t>REC 046</t>
  </si>
  <si>
    <t>Inconsistencia CFDI vs recepción</t>
  </si>
  <si>
    <t>Bloqueo relación</t>
  </si>
  <si>
    <t>1.Relacionar inválido</t>
  </si>
  <si>
    <t>REC 047</t>
  </si>
  <si>
    <t>Timeout API consulta masiva</t>
  </si>
  <si>
    <t>Mensaje controlado</t>
  </si>
  <si>
    <t>1.Simular carga</t>
  </si>
  <si>
    <t>REC 048</t>
  </si>
  <si>
    <t>Edge 10 registros exactos sin paginación</t>
  </si>
  <si>
    <t>UI correcta</t>
  </si>
  <si>
    <t>REC 049</t>
  </si>
  <si>
    <t>Edge sin resultados no permite exportar</t>
  </si>
  <si>
    <t>Exportación bloqueada</t>
  </si>
  <si>
    <t>1.Filtrar vacío 2.Exportar</t>
  </si>
  <si>
    <t>REC 050</t>
  </si>
  <si>
    <t>Edge estado inválido 9 no visible</t>
  </si>
  <si>
    <t>No visible en grid</t>
  </si>
  <si>
    <t>1.Validar estado</t>
  </si>
  <si>
    <t>REC 051</t>
  </si>
  <si>
    <t>Performance carga &gt;1000 registros</t>
  </si>
  <si>
    <t>Tiempo &lt;3 segundos</t>
  </si>
  <si>
    <t>1.Ejecutar consulta</t>
  </si>
  <si>
    <t>CAP 001</t>
  </si>
  <si>
    <t>Validar botón primario único azul en consulta de cartas porte con fechas válidas</t>
  </si>
  <si>
    <t>Carta Porte</t>
  </si>
  <si>
    <t>Solo un botón azul visible</t>
  </si>
  <si>
    <t>Paola Leon</t>
  </si>
  <si>
    <t>Diana Hernandez</t>
  </si>
  <si>
    <t>Fernando</t>
  </si>
  <si>
    <t>UI consistente</t>
  </si>
  <si>
    <t>1.Login 2.Filtrar fechas 3.Consultar 4.Validar botón</t>
  </si>
  <si>
    <t>CAP 002</t>
  </si>
  <si>
    <t>Seleccionar opción de Carta Porte</t>
  </si>
  <si>
    <t>CAP 003</t>
  </si>
  <si>
    <t>1.Login 2.Filtrar fechas 3.Consultar 4.Validar limpiar</t>
  </si>
  <si>
    <t>CAP 004</t>
  </si>
  <si>
    <t>Modal obligatorio al cancelar guía Pendiente de OC</t>
  </si>
  <si>
    <t>Modal de confirmación obligatorio</t>
  </si>
  <si>
    <t>Evidencia modal</t>
  </si>
  <si>
    <t>1.Buscar guía 2.Cancelar</t>
  </si>
  <si>
    <t>CAP 005</t>
  </si>
  <si>
    <t>Calendario fijo sin desplazamiento en filtro fechas</t>
  </si>
  <si>
    <t>Calendario estable sin scroll</t>
  </si>
  <si>
    <t>CAP 006</t>
  </si>
  <si>
    <t>Validar colores de estatus según API del catálogo de catálogos</t>
  </si>
  <si>
    <t>Colores correctos</t>
  </si>
  <si>
    <t>1.Visualizar grid</t>
  </si>
  <si>
    <t>CAP 007</t>
  </si>
  <si>
    <t>Validar formato fechas dd/mm/yyyy en grid</t>
  </si>
  <si>
    <t>Formato correcto</t>
  </si>
  <si>
    <t>1.Ver fechas</t>
  </si>
  <si>
    <t>CAP 008</t>
  </si>
  <si>
    <t>Validar orden correcto columnas en grid:
oGuia de embarque	
o	Placa	
o	Placa remolque	
o	Origen	
o	Tipo de entrega	
o	Número de orden compra	
o	Número de proveedor
o	Nombre de proveedor	
o	Fecha de entrega	
o	Fecha de envió	
o	Fecha de registro	
o	Estatus	
o	Acciones</t>
  </si>
  <si>
    <t>Orden definido respetado</t>
  </si>
  <si>
    <t>1.Ver columnas</t>
  </si>
  <si>
    <t>CAP 009</t>
  </si>
  <si>
    <t>Paginación centrada</t>
  </si>
  <si>
    <t>CAP 010</t>
  </si>
  <si>
    <t>Persistencia de filtros tras navegación</t>
  </si>
  <si>
    <t>CAP 011</t>
  </si>
  <si>
    <t>Validar columnas completas rol administrador</t>
  </si>
  <si>
    <t>Columnas completas visibles</t>
  </si>
  <si>
    <t>CAP 012</t>
  </si>
  <si>
    <t>Mensaje UX sin resultados por filtro guía inválida</t>
  </si>
  <si>
    <t>Mensaje claro</t>
  </si>
  <si>
    <t>1.Buscar guía inválida</t>
  </si>
  <si>
    <t>CAP 013</t>
  </si>
  <si>
    <t>Consulta válida por fecha+proveedor Pendiente OC</t>
  </si>
  <si>
    <t>Resultados correctos</t>
  </si>
  <si>
    <t>1.Filtrar</t>
  </si>
  <si>
    <t>CAP 014</t>
  </si>
  <si>
    <t>Consulta por guía exacta existente</t>
  </si>
  <si>
    <t>Registro único</t>
  </si>
  <si>
    <t>1.Buscar guía</t>
  </si>
  <si>
    <t>CAP 015</t>
  </si>
  <si>
    <t>Consulta proveedor cargado automático rol proveedor</t>
  </si>
  <si>
    <t>Campo precargado</t>
  </si>
  <si>
    <t>1.Login 2.Validar campo</t>
  </si>
  <si>
    <t>CAP 016</t>
  </si>
  <si>
    <t>Consulta proveedor editable rol analista</t>
  </si>
  <si>
    <t>Permite captura</t>
  </si>
  <si>
    <t>1.Ingresar proveedor</t>
  </si>
  <si>
    <t>CAP 017</t>
  </si>
  <si>
    <t>Consulta rango fechas máximo 6 meses</t>
  </si>
  <si>
    <t>Permite consulta</t>
  </si>
  <si>
    <t>1.Filtrar fechas</t>
  </si>
  <si>
    <t>CAP 018</t>
  </si>
  <si>
    <t>Consulta paginación múltiples páginas</t>
  </si>
  <si>
    <t>Navegación correcta</t>
  </si>
  <si>
    <t>CAP 019</t>
  </si>
  <si>
    <t>Consulta proveedores asignados</t>
  </si>
  <si>
    <t>Solo datos autorizados</t>
  </si>
  <si>
    <t>CAP 020</t>
  </si>
  <si>
    <t>Consulta con OC relacionada existente</t>
  </si>
  <si>
    <t>Datos completos</t>
  </si>
  <si>
    <t>CAP 021</t>
  </si>
  <si>
    <t>Exportación CSV correcta con timestamp</t>
  </si>
  <si>
    <t>Nombre correcto archivo</t>
  </si>
  <si>
    <t>CAP 022</t>
  </si>
  <si>
    <t>Exportación XLSX alto volumen</t>
  </si>
  <si>
    <t>Archivo íntegro</t>
  </si>
  <si>
    <t>CAP 023</t>
  </si>
  <si>
    <t>Ver viajes asociados a guía Pendiente Facturar</t>
  </si>
  <si>
    <t>Detalle correcto</t>
  </si>
  <si>
    <t>1.Ver viajes</t>
  </si>
  <si>
    <t>CAP 024</t>
  </si>
  <si>
    <t>Descargar guía XML válida válida con el número de la guia y la fecha hora de descarga 
XXXX--yyyy-mm-dd-hh24-mi-ss.xml</t>
  </si>
  <si>
    <t>Archivo descargado correcto</t>
  </si>
  <si>
    <t>1.Descargar XML</t>
  </si>
  <si>
    <t>CAP 025</t>
  </si>
  <si>
    <t>Descargar guía CSV válida válida con el número de la guia y la fecha hora de descarga 
XXXX--yyyy-mm-dd-hh24-mi-ss.csv</t>
  </si>
  <si>
    <t>CSV correcto</t>
  </si>
  <si>
    <t>1.Descargar CSV</t>
  </si>
  <si>
    <t>CAP 026</t>
  </si>
  <si>
    <t>Cancelar guía Pendiente OC</t>
  </si>
  <si>
    <t>Estatus 9 aplicado</t>
  </si>
  <si>
    <t>1.Cancelar guía</t>
  </si>
  <si>
    <t>CAP011</t>
  </si>
  <si>
    <t>CAP 027</t>
  </si>
  <si>
    <t>Actualizar guía válida con datos correctos</t>
  </si>
  <si>
    <t>Actualización exitosa</t>
  </si>
  <si>
    <t>1.Actualizar</t>
  </si>
  <si>
    <t>CAP 028</t>
  </si>
  <si>
    <t>Transición Pendiente OC→Pendiente Facturar</t>
  </si>
  <si>
    <t>Transición exitosa</t>
  </si>
  <si>
    <t>1.Ejecutar transición</t>
  </si>
  <si>
    <t>CAP 029</t>
  </si>
  <si>
    <t>Transición Facturar→Pago manual</t>
  </si>
  <si>
    <t>1.Procesar factura</t>
  </si>
  <si>
    <t>CAP026</t>
  </si>
  <si>
    <t>CAP 030</t>
  </si>
  <si>
    <t>Transición Pago→Contabilización automática</t>
  </si>
  <si>
    <t>1.Validar proceso</t>
  </si>
  <si>
    <t>CAP027</t>
  </si>
  <si>
    <t>CAP 031</t>
  </si>
  <si>
    <t>Contabilizada→Pagada flujo completo</t>
  </si>
  <si>
    <t>Estatus 7</t>
  </si>
  <si>
    <t>CAP028</t>
  </si>
  <si>
    <t>CAP 032</t>
  </si>
  <si>
    <t>Rechazo contable y recuperación</t>
  </si>
  <si>
    <t>Estatus pasa a 6 y luego 5</t>
  </si>
  <si>
    <t>1.Rechazar 2.Reintentar</t>
  </si>
  <si>
    <t>CAP 033</t>
  </si>
  <si>
    <t>Restricción cancelar guía pagada</t>
  </si>
  <si>
    <t>CAP 034</t>
  </si>
  <si>
    <t>Restricción actualizar guía cancelada</t>
  </si>
  <si>
    <t>Acción no permitida</t>
  </si>
  <si>
    <t>1.Intentar actualizar</t>
  </si>
  <si>
    <t>CAP 035</t>
  </si>
  <si>
    <t>Restricción acceso proveedor a otros datos</t>
  </si>
  <si>
    <t>1.Intentar ver otros</t>
  </si>
  <si>
    <t>CAP 036</t>
  </si>
  <si>
    <t>Restricción transición inválida OC→Pagada</t>
  </si>
  <si>
    <t>API rechaza</t>
  </si>
  <si>
    <t>CAP 037</t>
  </si>
  <si>
    <t>Restricción visibilidad borrado lógico</t>
  </si>
  <si>
    <t>No visible</t>
  </si>
  <si>
    <t>CAP 038</t>
  </si>
  <si>
    <t>Restricción columnas sensibles ocultas</t>
  </si>
  <si>
    <t>CAP 039</t>
  </si>
  <si>
    <t>Seguridad acceso URL sin sesión</t>
  </si>
  <si>
    <t>1.Acceder URL</t>
  </si>
  <si>
    <t>CAP 040</t>
  </si>
  <si>
    <t>Seguridad manipulación payload guía</t>
  </si>
  <si>
    <t>Rechazo backend</t>
  </si>
  <si>
    <t>CAP 041</t>
  </si>
  <si>
    <t>Error guía formato inválido</t>
  </si>
  <si>
    <t>Mensaje error validación</t>
  </si>
  <si>
    <t>CAP 042</t>
  </si>
  <si>
    <t>Error fecha &gt;6 meses</t>
  </si>
  <si>
    <t>Bloqueo consulta</t>
  </si>
  <si>
    <t>1.Filtrar inválido</t>
  </si>
  <si>
    <t>CAP 043</t>
  </si>
  <si>
    <t>Error consulta sin filtros</t>
  </si>
  <si>
    <t>No permite ejecución</t>
  </si>
  <si>
    <t>CAP 044</t>
  </si>
  <si>
    <t>Error exportación sin datos</t>
  </si>
  <si>
    <t>No permite descarga</t>
  </si>
  <si>
    <t>CAP 045</t>
  </si>
  <si>
    <t>Error duplicidad descarga simultánea</t>
  </si>
  <si>
    <t>Control concurrencia</t>
  </si>
  <si>
    <t>1.Descargas múltiples</t>
  </si>
  <si>
    <t>CAP 046</t>
  </si>
  <si>
    <t>Error inconsistencia OC vs guía</t>
  </si>
  <si>
    <t>Bloqueo proceso</t>
  </si>
  <si>
    <t>1.Validar inconsistencia</t>
  </si>
  <si>
    <t>CAP 047</t>
  </si>
  <si>
    <t>Edge exactamente 10 registros</t>
  </si>
  <si>
    <t>Sin paginación extra</t>
  </si>
  <si>
    <t>CAP 048</t>
  </si>
  <si>
    <t>Edge consulta sin resultados no rompe UI</t>
  </si>
  <si>
    <t>Pantalla estable</t>
  </si>
  <si>
    <t>1.Filtrar extremo</t>
  </si>
  <si>
    <t>CAP 049</t>
  </si>
  <si>
    <t>Edge transición estado 8 rechazo guía retorno</t>
  </si>
  <si>
    <t>Permite retroceso correcto</t>
  </si>
  <si>
    <t>1.Validar transición</t>
  </si>
  <si>
    <t>CAP 050</t>
  </si>
  <si>
    <t>Performance carga masiva &gt;1000 registros</t>
  </si>
  <si>
    <t>Respuesta &lt;3s</t>
  </si>
  <si>
    <t>1.Consultar alto volumen</t>
  </si>
  <si>
    <t>DES 001</t>
  </si>
  <si>
    <t>Validar botón primario único azul en consulta Pendiente NC con filtro fecha y tipo rebate</t>
  </si>
  <si>
    <t>Descuentos comerciales</t>
  </si>
  <si>
    <t>Solo un botón primario visible</t>
  </si>
  <si>
    <t>Ivan Cortes</t>
  </si>
  <si>
    <t>Liliana Preciado</t>
  </si>
  <si>
    <t>1.Login 2.Filtrar 3.Validar UI</t>
  </si>
  <si>
    <t>DES 002</t>
  </si>
  <si>
    <t>Seleccionar opción de Descuento Comercial</t>
  </si>
  <si>
    <t>DES 003</t>
  </si>
  <si>
    <t>Validar botón limpiar elimina filtros Documento y Estatus</t>
  </si>
  <si>
    <t>Filtros reiniciados</t>
  </si>
  <si>
    <t>1.Filtrar 2.Limpiar</t>
  </si>
  <si>
    <t>DES 004</t>
  </si>
  <si>
    <t>Modal obligatorio cancelar descuento Pendiente NC sin NC relacionada</t>
  </si>
  <si>
    <t>Modal confirmación mostrado</t>
  </si>
  <si>
    <t>1.Buscar 2.Cancelar</t>
  </si>
  <si>
    <t>DES 005</t>
  </si>
  <si>
    <t>Calendario fijo sin desplazamiento en rango fechas</t>
  </si>
  <si>
    <t>Calendario estable</t>
  </si>
  <si>
    <t>DES 006</t>
  </si>
  <si>
    <t>Validar colores de estatus Pendiente NC desde catálogo API</t>
  </si>
  <si>
    <t>1.Ver grid</t>
  </si>
  <si>
    <t>DES 007</t>
  </si>
  <si>
    <t>Validar formato fecha y moneda en NC relacionada</t>
  </si>
  <si>
    <t>dd/mm/yyyy y $ correctos</t>
  </si>
  <si>
    <t>1.Validar valores</t>
  </si>
  <si>
    <t>DES 008</t>
  </si>
  <si>
    <t>DES 009</t>
  </si>
  <si>
    <t>Validar orden de columnas en grid descuento</t>
  </si>
  <si>
    <t>Orden correcto columnas</t>
  </si>
  <si>
    <t>1.Validar grid</t>
  </si>
  <si>
    <t>DES 010</t>
  </si>
  <si>
    <t>Persistencia filtros navegación en estatus NC relacionada</t>
  </si>
  <si>
    <t>Filtros persistentes</t>
  </si>
  <si>
    <t>1.Filtrar 2.Regresar</t>
  </si>
  <si>
    <t>DES 011</t>
  </si>
  <si>
    <t>Mensaje UX sin resultados filtro documento inválido</t>
  </si>
  <si>
    <t>1.Buscar inválido</t>
  </si>
  <si>
    <t>DES 012</t>
  </si>
  <si>
    <t>Consulta válida fecha+estatus Pendiente NC con descuentos sin relación</t>
  </si>
  <si>
    <t>Registros correctos</t>
  </si>
  <si>
    <t>DES 013</t>
  </si>
  <si>
    <t>Consulta documento exacto rebate específico en NC relacionada</t>
  </si>
  <si>
    <t>1.Buscar doc</t>
  </si>
  <si>
    <t>DES 014</t>
  </si>
  <si>
    <t>Consulta tipo rebate válido con múltiples resultados</t>
  </si>
  <si>
    <t>Resultados consistentes</t>
  </si>
  <si>
    <t>1.Filtrar rebate</t>
  </si>
  <si>
    <t>DES 015</t>
  </si>
  <si>
    <t>Consulta proveedor restringido acceso a otros</t>
  </si>
  <si>
    <t>DES 016</t>
  </si>
  <si>
    <t>Consulta rango fecha máximo 6 meses</t>
  </si>
  <si>
    <t>1.Filtrar rango</t>
  </si>
  <si>
    <t>DES 017</t>
  </si>
  <si>
    <t>DES 018</t>
  </si>
  <si>
    <t>Consulta proveedores asignados Gerente Financiero</t>
  </si>
  <si>
    <t>Datos restringidos correctos</t>
  </si>
  <si>
    <t>DES 019</t>
  </si>
  <si>
    <t>DES 020</t>
  </si>
  <si>
    <t>Exportación CSV con nombre correcto timestamp</t>
  </si>
  <si>
    <t>Nombre cumple estándar</t>
  </si>
  <si>
    <t>DES 021</t>
  </si>
  <si>
    <t>Exportación XLSX alto volumen datos</t>
  </si>
  <si>
    <t>DES 022</t>
  </si>
  <si>
    <t>Ver descuentos aplicados en pantalla secundaria NC relacionada</t>
  </si>
  <si>
    <t>Detalle correcto mostrado</t>
  </si>
  <si>
    <t>1.Ver detalle</t>
  </si>
  <si>
    <t>DES 023</t>
  </si>
  <si>
    <t>Relacionar nota crédito válida Pendiente NC</t>
  </si>
  <si>
    <t>Estatus pasa a NC relacionada</t>
  </si>
  <si>
    <t>1.Relacionar NC</t>
  </si>
  <si>
    <t>DES011</t>
  </si>
  <si>
    <t>DES 024</t>
  </si>
  <si>
    <t>Relacionar nota crédito desde pantalla secundaria</t>
  </si>
  <si>
    <t>1.Ingresar pantalla 2.Relacionar</t>
  </si>
  <si>
    <t>DES 025</t>
  </si>
  <si>
    <t>Cancelar descuento en Pendiente NC desde pantalla secundaria</t>
  </si>
  <si>
    <t>Estatus cambia a cancelado</t>
  </si>
  <si>
    <t>DES 026</t>
  </si>
  <si>
    <t>Transición válida Pendiente NC→NC relacionada</t>
  </si>
  <si>
    <t>Cambio correcto</t>
  </si>
  <si>
    <t>DES 027</t>
  </si>
  <si>
    <t>Transición NC relacionada→Completado automático</t>
  </si>
  <si>
    <t>1.Validar flujo</t>
  </si>
  <si>
    <t>DES025</t>
  </si>
  <si>
    <t>DES 028</t>
  </si>
  <si>
    <t>Cancelar descuento desde Pendiente NC disponible</t>
  </si>
  <si>
    <t>Estatus 4 aplicado</t>
  </si>
  <si>
    <t>DES 029</t>
  </si>
  <si>
    <t>Flujo completo Pendiente→Completado con NC válida</t>
  </si>
  <si>
    <t>Proceso completo correcto</t>
  </si>
  <si>
    <t>1.Ejecutar flujo</t>
  </si>
  <si>
    <t>DES 030</t>
  </si>
  <si>
    <t>Relación múltiple NC parciales en mismo descuento</t>
  </si>
  <si>
    <t>Integridad contable correcta</t>
  </si>
  <si>
    <t>1.Relacionar múltiples</t>
  </si>
  <si>
    <t>DES 031</t>
  </si>
  <si>
    <t>Ver detalle de descuento por tipo rebate</t>
  </si>
  <si>
    <t>Información consistente</t>
  </si>
  <si>
    <t>DES 032</t>
  </si>
  <si>
    <t>Restricción cancelar descuento completado</t>
  </si>
  <si>
    <t>DES 033</t>
  </si>
  <si>
    <t>Restricción relacionar NC en cancelado</t>
  </si>
  <si>
    <t>1.Intentar relación</t>
  </si>
  <si>
    <t>DES 034</t>
  </si>
  <si>
    <t>DES 035</t>
  </si>
  <si>
    <t>Restricción transición inválida Pendiente→Completado directo</t>
  </si>
  <si>
    <t>DES 036</t>
  </si>
  <si>
    <t>Restricción acceso proveedor distinto</t>
  </si>
  <si>
    <t>DES 037</t>
  </si>
  <si>
    <t>Restricción columnas ocultas según rol</t>
  </si>
  <si>
    <t>Columnas limitadas</t>
  </si>
  <si>
    <t>DES 038</t>
  </si>
  <si>
    <t>1.Acceder</t>
  </si>
  <si>
    <t>DES 039</t>
  </si>
  <si>
    <t>Seguridad manipulación payload documento descuento</t>
  </si>
  <si>
    <t>1.Modificar request</t>
  </si>
  <si>
    <t>DES 040</t>
  </si>
  <si>
    <t>Error documento inválido formato incorrecto</t>
  </si>
  <si>
    <t>Mensaje error</t>
  </si>
  <si>
    <t>DES 041</t>
  </si>
  <si>
    <t>Error rango fecha mayor 6 meses</t>
  </si>
  <si>
    <t>Validación bloquea</t>
  </si>
  <si>
    <t>DES 042</t>
  </si>
  <si>
    <t>Error consulta sin filtros obligatorios</t>
  </si>
  <si>
    <t>Consulta no ejecuta</t>
  </si>
  <si>
    <t>DES 043</t>
  </si>
  <si>
    <t>Error duplicidad relación nota crédito</t>
  </si>
  <si>
    <t>Prevención duplicidad</t>
  </si>
  <si>
    <t>1.Relacionar 2.Repetir</t>
  </si>
  <si>
    <t>DES 044</t>
  </si>
  <si>
    <t>Error inconsistencia importe descuento vs NC</t>
  </si>
  <si>
    <t>Bloqueo contable</t>
  </si>
  <si>
    <t>DES 045</t>
  </si>
  <si>
    <t>Error timeout API consulta masiva</t>
  </si>
  <si>
    <t>DES 046</t>
  </si>
  <si>
    <t>Edge 10 registros exactos sin paginación extra</t>
  </si>
  <si>
    <t>DES 047</t>
  </si>
  <si>
    <t>Edge sin resultados bloquea exportación</t>
  </si>
  <si>
    <t>Exportación no permitida</t>
  </si>
  <si>
    <t>DES 048</t>
  </si>
  <si>
    <t>Edge estatus borrado no visible en grid</t>
  </si>
  <si>
    <t>Registro oculto</t>
  </si>
  <si>
    <t>1.Validar</t>
  </si>
  <si>
    <t>DES 049</t>
  </si>
  <si>
    <t>Performance carga &gt;1000 registros con filtros abiertos</t>
  </si>
  <si>
    <t>PAG 001</t>
  </si>
  <si>
    <t>Validar botón primario único azul en consulta Pendiente de complemento con filtro fecha y año</t>
  </si>
  <si>
    <t>Pagos</t>
  </si>
  <si>
    <t>En Progreso</t>
  </si>
  <si>
    <t>Saul Valdez</t>
  </si>
  <si>
    <t>1.Login 2.Filtrar fechas/año 3.Validar UI</t>
  </si>
  <si>
    <t>PAG 002</t>
  </si>
  <si>
    <t>Seleccionar opción de Pagos</t>
  </si>
  <si>
    <t>PAG 003</t>
  </si>
  <si>
    <t>Validar botón limpiar elimina filtros proveedor y referencia en Pendiente de complemento</t>
  </si>
  <si>
    <t>Pasó</t>
  </si>
  <si>
    <t>PAG 004</t>
  </si>
  <si>
    <t>Modal obligatorio cancelar pago Pendiente de complemento sin complemento</t>
  </si>
  <si>
    <t>PAG 005</t>
  </si>
  <si>
    <t>Calendario fijo sin desplazamiento al seleccionar fechas</t>
  </si>
  <si>
    <t>PAG 006</t>
  </si>
  <si>
    <t>Validar colores de estatus Pendiente desde catálogo API</t>
  </si>
  <si>
    <t>PAG 007</t>
  </si>
  <si>
    <t>Validar formato fecha y moneda en Complemento relacionado</t>
  </si>
  <si>
    <t>dd/mm/yyyy y $ correcto</t>
  </si>
  <si>
    <t>1.Revisar grid</t>
  </si>
  <si>
    <t>PAG 008</t>
  </si>
  <si>
    <t>Validar paginación centrada con 10 registros</t>
  </si>
  <si>
    <t>PAG 009</t>
  </si>
  <si>
    <t>Validar orden correcto columnas grid pagos</t>
  </si>
  <si>
    <t>Orden conforme diseño</t>
  </si>
  <si>
    <t>PAG 010</t>
  </si>
  <si>
    <t>Persistencia filtros navegación estatus Pendiente</t>
  </si>
  <si>
    <t>PAG 011</t>
  </si>
  <si>
    <t>Mensaje UX sin resultados filtro referencia inválida</t>
  </si>
  <si>
    <t>PAG 012</t>
  </si>
  <si>
    <t>Consulta válida fecha+estatus Pendiente con pagos sin complemento</t>
  </si>
  <si>
    <t>Datos correctos</t>
  </si>
  <si>
    <t>PAG 013</t>
  </si>
  <si>
    <t>Consulta referencia exacta existente Complemento relacionado</t>
  </si>
  <si>
    <t>1.Buscar referencia</t>
  </si>
  <si>
    <t>PAG 014</t>
  </si>
  <si>
    <t>Consulta por año y proveedor específico</t>
  </si>
  <si>
    <t>1.Filtrar año/proveedor</t>
  </si>
  <si>
    <t>PAG 015</t>
  </si>
  <si>
    <t>Consulta acceso restringido proveedor distinto</t>
  </si>
  <si>
    <t>PAG 016</t>
  </si>
  <si>
    <t>Consulta rango fecha límite permitido 6 meses</t>
  </si>
  <si>
    <t>Consulta válida</t>
  </si>
  <si>
    <t>PAG 017</t>
  </si>
  <si>
    <t>Consulta paginación múltiples páginas (&gt;10 registros)</t>
  </si>
  <si>
    <t>PAG 018</t>
  </si>
  <si>
    <t>PAG 019</t>
  </si>
  <si>
    <t>Datos filtrados correctos</t>
  </si>
  <si>
    <t>PAG 020</t>
  </si>
  <si>
    <t>Exportación CSV nombre correcto timestamp</t>
  </si>
  <si>
    <t>Nombre cumple formato</t>
  </si>
  <si>
    <t>PAG 021</t>
  </si>
  <si>
    <t>Archivo completo</t>
  </si>
  <si>
    <t>PAG 022</t>
  </si>
  <si>
    <t>Ver facturas relacionadas a pago en pantalla secundaria</t>
  </si>
  <si>
    <t>Datos consistentes</t>
  </si>
  <si>
    <t>PAG 023</t>
  </si>
  <si>
    <t>Relacionar complemento pago válido Pendiente</t>
  </si>
  <si>
    <t>Estatus cambia a relacionado</t>
  </si>
  <si>
    <t>1.Relacionar complemento</t>
  </si>
  <si>
    <t>PAG011</t>
  </si>
  <si>
    <t>PAG 024</t>
  </si>
  <si>
    <t>Relacionar complemento desde pantalla secundaria</t>
  </si>
  <si>
    <t>1.Ingresar 2.Relacionar</t>
  </si>
  <si>
    <t>PAG 025</t>
  </si>
  <si>
    <t>Cancelar pago desde pantalla secundaria</t>
  </si>
  <si>
    <t>Estatus cambia cancelado</t>
  </si>
  <si>
    <t>PAG 026</t>
  </si>
  <si>
    <t>Transición válida Pendiente→Complemento relacionado</t>
  </si>
  <si>
    <t>1.Relacionar</t>
  </si>
  <si>
    <t>PAG 027</t>
  </si>
  <si>
    <t>Cancelación pago válido desde Pendiente</t>
  </si>
  <si>
    <t>Estatus cancelado</t>
  </si>
  <si>
    <t>PAG 028</t>
  </si>
  <si>
    <t>Flujo completo relación complemento exitoso</t>
  </si>
  <si>
    <t>Estado final consistente</t>
  </si>
  <si>
    <t>PAG025</t>
  </si>
  <si>
    <t>PAG 029</t>
  </si>
  <si>
    <t>Validar relación única complemento CFDI (no duplicado)</t>
  </si>
  <si>
    <t>No permite duplicidad</t>
  </si>
  <si>
    <t>1.Relacionar duplicado</t>
  </si>
  <si>
    <t>PAG 030</t>
  </si>
  <si>
    <t>Relación parcial complemento sobre múltiples facturas</t>
  </si>
  <si>
    <t>1.Relacionar parcial</t>
  </si>
  <si>
    <t>PAG 031</t>
  </si>
  <si>
    <t>Ver detalle facturas por pago masivo</t>
  </si>
  <si>
    <t>PAG 032</t>
  </si>
  <si>
    <t>Restricción cancelar pago con complemento relacionado</t>
  </si>
  <si>
    <t>PAG 033</t>
  </si>
  <si>
    <t>Restricción relacionar complemento en cancelado</t>
  </si>
  <si>
    <t>PAG 034</t>
  </si>
  <si>
    <t>Restricción visibilidad pagos borrado lógico</t>
  </si>
  <si>
    <t>No visibles en grid</t>
  </si>
  <si>
    <t>PAG 035</t>
  </si>
  <si>
    <t>Restricción transición inválida Pendiente→Cancelado directo no permitido</t>
  </si>
  <si>
    <t>1.Intentar transición</t>
  </si>
  <si>
    <t>PAG 036</t>
  </si>
  <si>
    <t>Restricción acceso datos proveedor distinto</t>
  </si>
  <si>
    <t>PAG 037</t>
  </si>
  <si>
    <t>Restricción columnas ocultas según rol limitado</t>
  </si>
  <si>
    <t>PAG 038</t>
  </si>
  <si>
    <t>Seguridad acceso URL sin autenticación</t>
  </si>
  <si>
    <t>PAG 039</t>
  </si>
  <si>
    <t>Seguridad manipulación payload referencia pago</t>
  </si>
  <si>
    <t>PAG 040</t>
  </si>
  <si>
    <t>Error referencia inválida formato incorrecto</t>
  </si>
  <si>
    <t>PAG 041</t>
  </si>
  <si>
    <t>Error rango fecha mayor a permitido</t>
  </si>
  <si>
    <t>PAG 042</t>
  </si>
  <si>
    <t>1.Consultar vacío</t>
  </si>
  <si>
    <t>PAG 043</t>
  </si>
  <si>
    <t>Error duplicidad relación complemento pago</t>
  </si>
  <si>
    <t>Previene duplicidad</t>
  </si>
  <si>
    <t>PAG 044</t>
  </si>
  <si>
    <t>Error inconsistencia CFDI complemento vs pago</t>
  </si>
  <si>
    <t>PAG 045</t>
  </si>
  <si>
    <t>Error timeout API consulta masiva pagos</t>
  </si>
  <si>
    <t>PAG 046</t>
  </si>
  <si>
    <t>PAG 047</t>
  </si>
  <si>
    <t>No permite exportar</t>
  </si>
  <si>
    <t>PAG 048</t>
  </si>
  <si>
    <t>1.Validar estatus</t>
  </si>
  <si>
    <t>PAG 049</t>
  </si>
  <si>
    <t>Performance carga &gt;1000 registros pagos</t>
  </si>
  <si>
    <t>Tiempo respuesta &lt;3s</t>
  </si>
  <si>
    <t>1.Consulta masiva</t>
  </si>
  <si>
    <t>CAT 001</t>
  </si>
  <si>
    <t>Validar carga inicial de la pantalla Gestión de Catálogos</t>
  </si>
  <si>
    <t>Catálogos</t>
  </si>
  <si>
    <t>La pantalla muestra título, descripción, filtros vacíos, botón Nuevo Catálogo, botón Volver y estado inicial sin grid, exportación ni paginador.</t>
  </si>
  <si>
    <t>Exitoso</t>
  </si>
  <si>
    <t>Alexis Gines</t>
  </si>
  <si>
    <t>Ricardo</t>
  </si>
  <si>
    <t>Requiere autenticación válida</t>
  </si>
  <si>
    <t>Batch</t>
  </si>
  <si>
    <t>CAT 002</t>
  </si>
  <si>
    <t>Validar búsqueda general de catálogos sin filtros</t>
  </si>
  <si>
    <t>Al presionar Buscar sin filtros, el sistema muestra todos los catálogos consultables con conteo, grid y paginador.</t>
  </si>
  <si>
    <t>CAT 003</t>
  </si>
  <si>
    <t>Validar búsqueda de catálogo por ID Catálogo</t>
  </si>
  <si>
    <t>Al capturar un ID Catálogo existente y buscar, el sistema muestra únicamente el catálogo con coincidencia exacta.</t>
  </si>
  <si>
    <t>CAT 004</t>
  </si>
  <si>
    <t>Validar búsqueda de catálogo por Nombre</t>
  </si>
  <si>
    <t>Al capturar texto parcial en Nombre, el sistema muestra catálogos cuyo nombre contiene el texto ingresado sin distinguir mayúsculas o minúsculas.</t>
  </si>
  <si>
    <t>CAT 005</t>
  </si>
  <si>
    <t>Validar búsqueda de catálogo por Descripción</t>
  </si>
  <si>
    <t>Al capturar texto parcial en Descripción, el sistema muestra catálogos cuya descripción contiene el texto ingresado.</t>
  </si>
  <si>
    <t>CAT 006</t>
  </si>
  <si>
    <t>Validar búsqueda de catálogo por Código del Catálogo</t>
  </si>
  <si>
    <t>Al capturar code existente, el sistema muestra catálogos con coincidencia exacta y comparación case-insensitive.</t>
  </si>
  <si>
    <t>CAT 007</t>
  </si>
  <si>
    <t>Validar búsqueda de catálogo por Prefijo</t>
  </si>
  <si>
    <t>Al capturar prefix existente, el sistema muestra catálogos con coincidencia exacta y comparación case-insensitive.</t>
  </si>
  <si>
    <t>CAT 008</t>
  </si>
  <si>
    <t>Validar columnas code y prefix en grid de Catálogos</t>
  </si>
  <si>
    <t>El grid de Catálogos muestra Código del Catálogo y Prefijo como columnas visibles para cada registro.</t>
  </si>
  <si>
    <t>CAT 009</t>
  </si>
  <si>
    <t>Validar columna Total Elementos en grid de Catálogos</t>
  </si>
  <si>
    <t>El grid muestra la columna Total Elementos después de Tipo de Catálogo y antes de Estatus.</t>
  </si>
  <si>
    <t>BackEnd</t>
  </si>
  <si>
    <t>CAT 010</t>
  </si>
  <si>
    <t>Validar Total Elementos igual a 0</t>
  </si>
  <si>
    <t>Un catálogo sin elementos muestra 0 en Total Elementos; no muestra vacío, guion ni texto alterno.</t>
  </si>
  <si>
    <t>CAT 011</t>
  </si>
  <si>
    <t>Validar Total Elementos con activos e inactivos</t>
  </si>
  <si>
    <t>Total Elementos contabiliza todos los elementos existentes del catálogo, incluyendo elementos activos e inactivos.</t>
  </si>
  <si>
    <t>CAT 012</t>
  </si>
  <si>
    <t>Validar búsqueda de catálogos sin resultados</t>
  </si>
  <si>
    <t>Cuando no existen coincidencias, el sistema muestra mensaje de sin resultados y oculta grid, exportación y paginador.</t>
  </si>
  <si>
    <t>CAT 013</t>
  </si>
  <si>
    <t>Validar botón Limpiar en Gestión de Catálogos</t>
  </si>
  <si>
    <t>Al presionar Limpiar, el sistema borra los filtros capturados y regresa al estado inicial sin resultados visibles.</t>
  </si>
  <si>
    <t>CAT 014</t>
  </si>
  <si>
    <t>Validar exportación ALL de Catálogos</t>
  </si>
  <si>
    <t>Si no hay selección, la exportación de Catálogos incluye todos los registros resultantes de la búsqueda vigente, no solo la página visible.</t>
  </si>
  <si>
    <t>CAT 015</t>
  </si>
  <si>
    <t>Validar exportación SELECTED de Catálogos</t>
  </si>
  <si>
    <t>Si existen catálogos seleccionados, la exportación incluye únicamente esos registros seleccionados.</t>
  </si>
  <si>
    <t>CAT 016</t>
  </si>
  <si>
    <t>Validar selección de catálogos entre páginas para exportación</t>
  </si>
  <si>
    <t>La selección de catálogos se conserva al navegar entre páginas hasta ejecutar una nueva búsqueda o presionar Limpiar.</t>
  </si>
  <si>
    <t>CAT 017</t>
  </si>
  <si>
    <t>Validar columna Total Elementos en exportación de Catálogos</t>
  </si>
  <si>
    <t>El archivo exportado de Catálogos incluye la columna Total Elementos con número entero y en la posición definida después de Tipo de Catálogo.</t>
  </si>
  <si>
    <t>CAT 018</t>
  </si>
  <si>
    <t>Validar acceso a Nuevo Catálogo</t>
  </si>
  <si>
    <t>Al seleccionar Nuevo Catálogo, el sistema muestra la pantalla de captura con Stepper y Paso 1 disponible.</t>
  </si>
  <si>
    <t>CAT 019</t>
  </si>
  <si>
    <t>Validar campos obligatorios en Nuevo Catálogo</t>
  </si>
  <si>
    <t>El sistema requiere Nombre del Catálogo, Código del Catálogo, Prefijo y Tipo de Catálogo para habilitar la continuidad del flujo.</t>
  </si>
  <si>
    <t>CAT 020</t>
  </si>
  <si>
    <t>Validar Código del Catálogo en minúsculas</t>
  </si>
  <si>
    <t>El campo Código del Catálogo acepta minúsculas durante la captura y el sistema guarda el valor normalizado a mayúsculas.</t>
  </si>
  <si>
    <t>CAT 021</t>
  </si>
  <si>
    <t>Validar Código del Catálogo con caracteres no permitidos</t>
  </si>
  <si>
    <t>El sistema rechaza Código del Catálogo con números, espacios o caracteres especiales y muestra mensaje funcional de validación.</t>
  </si>
  <si>
    <t>CAT 022</t>
  </si>
  <si>
    <t>Validar Prefijo con más de 3 caracteres</t>
  </si>
  <si>
    <t>El sistema rechaza Prefijo con más de 3 caracteres alfabéticos.</t>
  </si>
  <si>
    <t>CAT 023</t>
  </si>
  <si>
    <t>Validar Prefijo con caracteres no permitidos</t>
  </si>
  <si>
    <t>El sistema rechaza Prefijo con números, espacios o caracteres especiales.</t>
  </si>
  <si>
    <t>CAT 024</t>
  </si>
  <si>
    <t>Validar unicidad global de Código del Catálogo</t>
  </si>
  <si>
    <t>El sistema no permite registrar un Código del Catálogo ya existente dentro del dominio shared_catalogs.</t>
  </si>
  <si>
    <t>CAT 025</t>
  </si>
  <si>
    <t>Validar unicidad global de Prefijo</t>
  </si>
  <si>
    <t>El sistema no permite registrar un Prefijo ya existente dentro del dominio shared_catalogs.</t>
  </si>
  <si>
    <t>CAT 026</t>
  </si>
  <si>
    <t>Validar habilitación de Stepper en Nuevo Catálogo</t>
  </si>
  <si>
    <t>Los pasos 2 y 3 se habilitan solo cuando los campos obligatorios del Paso 1 cumplen las validaciones definidas.</t>
  </si>
  <si>
    <t>CAT 027</t>
  </si>
  <si>
    <t>Validar botón Limpiar en Nuevo Catálogo</t>
  </si>
  <si>
    <t>Al presionar Limpiar, el sistema borra los campos capturados y regresa el Stepper al estado inicial definido.</t>
  </si>
  <si>
    <t>CAT 028</t>
  </si>
  <si>
    <t>Validar Volver con información capturada en Nuevo Catálogo</t>
  </si>
  <si>
    <t>Al presionar Volver con información capturada, el sistema muestra modal de confirmación antes de descartar los datos.</t>
  </si>
  <si>
    <t>CAT 029</t>
  </si>
  <si>
    <t>Validar edición de catálogo con datos precargados</t>
  </si>
  <si>
    <t>Al seleccionar Editar, el sistema muestra la pantalla Editar Catálogo con la información actual del catálogo.</t>
  </si>
  <si>
    <t>CAT 030</t>
  </si>
  <si>
    <t>Validar cambio de tipo de catálogo con confirmación</t>
  </si>
  <si>
    <t>Al cambiar el tipo de catálogo, el sistema muestra modal de advertencia y aplica el cambio solo si el usuario confirma.</t>
  </si>
  <si>
    <t>CAT 031</t>
  </si>
  <si>
    <t>Validar cancelación de cambio de tipo de catálogo</t>
  </si>
  <si>
    <t>Al cancelar la modal de advertencia, el sistema conserva el tipo original del catálogo.</t>
  </si>
  <si>
    <t>CAT 032</t>
  </si>
  <si>
    <t>Validar descarga de plantilla vigente con columna G</t>
  </si>
  <si>
    <t>La plantilla descargable incluye obligatoriamente las columnas A-G, con encabezado valorConversion en la columna G.</t>
  </si>
  <si>
    <t>CAT 033</t>
  </si>
  <si>
    <t>Validar rechazo de layout con estructura A-F</t>
  </si>
  <si>
    <t>El sistema rechaza layouts que no incluyan la columna G valorConversion, aunque la columna sea opcional en su llenado.</t>
  </si>
  <si>
    <t>CAT 034</t>
  </si>
  <si>
    <t>Validar layout con columna G vacía</t>
  </si>
  <si>
    <t>El sistema acepta layouts con encabezado valorConversion presente y celdas de columna G vacías, si las demás columnas son válidas.</t>
  </si>
  <si>
    <t>STM-1590</t>
  </si>
  <si>
    <t>CAT 035</t>
  </si>
  <si>
    <t>Validar carga de archivo permitido</t>
  </si>
  <si>
    <t>El sistema acepta archivos .csv, .xls o .xlsx dentro del tamaño permitido y muestra nombre, tamaño y opción de eliminar archivo.</t>
  </si>
  <si>
    <t>CAT 036</t>
  </si>
  <si>
    <t>Validar rechazo de archivo no permitido</t>
  </si>
  <si>
    <t>El sistema rechaza archivos con extensión no permitida o tamaño superior a 4 MB y muestra mensaje funcional.</t>
  </si>
  <si>
    <t>CAT 037</t>
  </si>
  <si>
    <t>Validar estructura obligatoria del layout A-G</t>
  </si>
  <si>
    <t>El sistema valida que los encabezados y orden de columnas A-G sean correctos antes de procesar el archivo.</t>
  </si>
  <si>
    <t>CAT 038</t>
  </si>
  <si>
    <t>Validar rechazo de celdas combinadas en layout</t>
  </si>
  <si>
    <t>El sistema rechaza archivos con celdas combinadas en la hoja procesada.</t>
  </si>
  <si>
    <t>CAT 039</t>
  </si>
  <si>
    <t>Validar rechazo de filas vacías intermedias en layout</t>
  </si>
  <si>
    <t>El sistema rechaza layouts con filas vacías intermedias entre registros válidos.</t>
  </si>
  <si>
    <t>CAT 040</t>
  </si>
  <si>
    <t>Validar campos obligatorios del layout</t>
  </si>
  <si>
    <t>El sistema marca error por celda cuando faltan tipoCatalogo, elemento o fechaInicioVigencia.</t>
  </si>
  <si>
    <t>CAT 041</t>
  </si>
  <si>
    <t>Validar espacios internos en elemento</t>
  </si>
  <si>
    <t>El sistema acepta elemento con espacios internos, por ejemplo Antigua y Barbuda.</t>
  </si>
  <si>
    <t>CAT 042</t>
  </si>
  <si>
    <t>Validar rechazo de espacios en valor</t>
  </si>
  <si>
    <t>El sistema rechaza valor con espacios y muestra mensaje indicando que los espacios no están permitidos en la columna valor.</t>
  </si>
  <si>
    <t>CAT 043</t>
  </si>
  <si>
    <t>Validar longitud máxima (512) del Nombre del elemento en layout</t>
  </si>
  <si>
    <t>El sistema muestra un mensaje de error cuando se detecta que una o varias celdas de la columna 'elemento' contienen más de 512 caracteres.</t>
  </si>
  <si>
    <t>CAT 044</t>
  </si>
  <si>
    <t>Validar longitud máxima (100) del valor en layout</t>
  </si>
  <si>
    <t>El sistema muestra un mensaje de error cuando se detecta que una o varias celdas de la columna 'valor' contienen más de 100 caracteres.</t>
  </si>
  <si>
    <t>CAT 045</t>
  </si>
  <si>
    <t>Validar mezcla de tipoCatalogo en layout</t>
  </si>
  <si>
    <t>Si el archivo mezcla primario y secundario, el sistema marca error en las filas que no coincidan con el tipo predominante.</t>
  </si>
  <si>
    <t>CAT 046</t>
  </si>
  <si>
    <t>Validar idPadre inexistente en layout secundario</t>
  </si>
  <si>
    <t>El sistema rechaza el registro cuando idPadre no existe y muestra mensaje específico por celda.</t>
  </si>
  <si>
    <t>CAT 047</t>
  </si>
  <si>
    <t>Validar idPadre que no pertenece a primario ni HIERARCHICAL</t>
  </si>
  <si>
    <t>El sistema rechaza idPadre que existe pero pertenece a un catálogo que no es primario ni HIERARCHICAL.</t>
  </si>
  <si>
    <t>CAT 048</t>
  </si>
  <si>
    <t>Validar idPadre válido en layout secundario</t>
  </si>
  <si>
    <t>El sistema acepta idPadre válido y, al consultar el elemento cargado, muestra la relación padre correspondiente.</t>
  </si>
  <si>
    <t>CAT 049</t>
  </si>
  <si>
    <t>Validar unicidad contextual de nombre de elemento en layout</t>
  </si>
  <si>
    <t>El sistema aplica unicidad por catálogo destino (primario y secundario sin relación) y, en secundarios con relación, por la combinación catálogo + nombre normalizado + Catálogo Padre + Elemento Padre; normaliza TRIM y case-insensitive; el valor sí puede repetirse.</t>
  </si>
  <si>
    <t>CAT 050</t>
  </si>
  <si>
    <t>Validar repetición permitida de valor entre elementos distintos</t>
  </si>
  <si>
    <t>El sistema permite registrar elementos diferentes con el mismo valor cuando los nombres son distintos.</t>
  </si>
  <si>
    <t>CAT 051</t>
  </si>
  <si>
    <t>Validar generación de key en carga masiva de Nuevo Catálogo</t>
  </si>
  <si>
    <t>Al crear catálogo con layout, cada elemento cargado recibe key formada por prefix más consecutivo de cuatro dígitos.</t>
  </si>
  <si>
    <t>CAT 052</t>
  </si>
  <si>
    <t>Validar continuidad de key en Importar Elementos</t>
  </si>
  <si>
    <t>Al importar elementos a un catálogo existente, el sistema continúa el consecutivo de key desde el último usado.</t>
  </si>
  <si>
    <t>CAT 053</t>
  </si>
  <si>
    <t>Validar no reutilización de key de elemento inactivo</t>
  </si>
  <si>
    <t>Si un elemento se inactiva, el siguiente elemento nuevo usa un consecutivo posterior y no reutiliza la key anterior.</t>
  </si>
  <si>
    <t>CAT 054</t>
  </si>
  <si>
    <t>Validar valorConversion válido en layout</t>
  </si>
  <si>
    <t>El sistema acepta valorConversion con letras, números, guion, guion bajo y punto, conservando mayúsculas y minúsculas capturadas.</t>
  </si>
  <si>
    <t>CAT 055</t>
  </si>
  <si>
    <t>Validar valorConversion mayor a 50 caracteres</t>
  </si>
  <si>
    <t>El sistema rechaza valorConversion mayor a 50 caracteres y muestra mensaje específico por celda.</t>
  </si>
  <si>
    <t>CAT 056</t>
  </si>
  <si>
    <t>Validar valorConversion con caracteres no permitidos</t>
  </si>
  <si>
    <t>El sistema rechaza valorConversion con espacios o caracteres especiales no permitidos y muestra mensaje específico por celda.</t>
  </si>
  <si>
    <t>CAT 057</t>
  </si>
  <si>
    <t>Validar validación funcional todo o nada en layout</t>
  </si>
  <si>
    <t>Si una fila del layout contiene error, el sistema no carga ningún elemento del archivo y muestra los errores encontrados.</t>
  </si>
  <si>
    <t>CAT 058</t>
  </si>
  <si>
    <t>Validar descarga de reporte .txt por más de 20 errores</t>
  </si>
  <si>
    <t>Cuando la validación detecta más de 20 errores, el sistema permite descargar reporte .txt con el detalle de incidencias.</t>
  </si>
  <si>
    <t>CAT 059</t>
  </si>
  <si>
    <t>Validar mensaje de éxito con valorConversion en layout</t>
  </si>
  <si>
    <t>Si al menos una fila tiene valorConversion, el mensaje indica cuántos elementos se cargaron y cuántos incluyen valor de conversión.</t>
  </si>
  <si>
    <t>CAT 060</t>
  </si>
  <si>
    <t>Validar mensaje de éxito sin valorConversion en layout</t>
  </si>
  <si>
    <t>Si ninguna fila tiene valorConversion, el sistema muestra el mensaje estándar de carga exitosa de elementos.</t>
  </si>
  <si>
    <t>CAT 061</t>
  </si>
  <si>
    <t>Validar carga inicial de pantalla Elementos</t>
  </si>
  <si>
    <t>La pantalla muestra tarjeta del catálogo seleccionado, filtros, acciones y estado inicial definido para consulta de elementos.</t>
  </si>
  <si>
    <t>CAT 062</t>
  </si>
  <si>
    <t>Validar búsqueda general de elementos</t>
  </si>
  <si>
    <t>Al buscar sin filtros, el sistema muestra todos los elementos del catálogo seleccionado, independientemente del estatus.</t>
  </si>
  <si>
    <t>CAT 063</t>
  </si>
  <si>
    <t>Validar búsqueda por ID Elemento</t>
  </si>
  <si>
    <t>Al ingresar un ID existente el sistema muestra únicamente el elemento con coincidencia exacta</t>
  </si>
  <si>
    <t>CAT 064</t>
  </si>
  <si>
    <t>Validar búsqueda por Clave del Elemento</t>
  </si>
  <si>
    <t>Al ingresar texto parcial el sistema muestra elementos cuya clave contiene el valor sin distinguir mayúsculas o minúsculas</t>
  </si>
  <si>
    <t>CAT 065</t>
  </si>
  <si>
    <t>Validar búsqueda por Nombre de Elemento</t>
  </si>
  <si>
    <t>Al ingresar texto parcial o exacto el sistema muestra registros cuyo nombre contiene el valor ignorando mayúsculas, minúsculas y espacios adicionales</t>
  </si>
  <si>
    <t>STM-1595</t>
  </si>
  <si>
    <t>CAT 066</t>
  </si>
  <si>
    <t>Validar búsqueda por Valor Elemento</t>
  </si>
  <si>
    <t>Al ingresar texto parcial o exacto en valor el sistema muestra registros cuyo valor contiene la cadena ingresada sin distinguir mayúsculas o minúsculas</t>
  </si>
  <si>
    <t>CAT 067</t>
  </si>
  <si>
    <t>Validar búsqueda por Estatus</t>
  </si>
  <si>
    <t>Al seleccionar un estatus el sistema muestra únicamente los registros que coinciden exactamente con el estado seleccionado y con opción Todos muestra todos</t>
  </si>
  <si>
    <t>CAT 068</t>
  </si>
  <si>
    <t>Validar columna key en grid de Elementos</t>
  </si>
  <si>
    <t>El grid de Elementos muestra la Clave del Elemento generada automáticamente.</t>
  </si>
  <si>
    <t>CAT 069</t>
  </si>
  <si>
    <t>Validar mensaje sin resultados en Elementos</t>
  </si>
  <si>
    <t>Cuando la búsqueda no retorna elementos, el sistema muestra mensaje de sin resultados y oculta grid, exportación y paginador.</t>
  </si>
  <si>
    <t>CAT 070</t>
  </si>
  <si>
    <t>Validar activación de elemento</t>
  </si>
  <si>
    <t>Al activar un elemento, el cambio se mantiene al consultar nuevamente los elementos del catálogo.</t>
  </si>
  <si>
    <t>CAT 071</t>
  </si>
  <si>
    <t>Validar desactivación de elemento</t>
  </si>
  <si>
    <t>Al desactivar un elemento, el cambio se mantiene al consultar nuevamente los elementos del catálogo.</t>
  </si>
  <si>
    <t>CAT 072</t>
  </si>
  <si>
    <t>Validar navegación a Importar Elementos</t>
  </si>
  <si>
    <t>Al seleccionar Importar Elementos, el sistema navega a la pantalla correspondiente mostrando Stepper con Paso 1 y Paso 2 disponibles.</t>
  </si>
  <si>
    <t>CAT 073</t>
  </si>
  <si>
    <t>Validar exportación ALL de Elementos</t>
  </si>
  <si>
    <t>Si no hay selección, la exportación de Elementos incluye todos los registros resultantes de la búsqueda vigente y no genera archivo vacío.</t>
  </si>
  <si>
    <t>CAT 074</t>
  </si>
  <si>
    <t>Validar exportación SELECTED de Elementos</t>
  </si>
  <si>
    <t>Si hay elementos seleccionados, la exportación incluye únicamente esos elementos seleccionados.</t>
  </si>
  <si>
    <t>CAT 075</t>
  </si>
  <si>
    <t>Validar columnas de relación en grid de Elementos</t>
  </si>
  <si>
    <t>El grid muestra las columnas Catálogo Padre Relacionado y Elemento Padre Relacionado como solo lectura.</t>
  </si>
  <si>
    <t>CAT 076</t>
  </si>
  <si>
    <t>Validar elemento secundario con relación padre</t>
  </si>
  <si>
    <t>Para un elemento secundario relacionado, el grid muestra el nombre del catálogo padre y el nombre del elemento padre.</t>
  </si>
  <si>
    <t>CAT 077</t>
  </si>
  <si>
    <t>Validar elemento secundario sin relación padre</t>
  </si>
  <si>
    <t>Para un elemento secundario sin relación, el grid muestra (Sin relación) en las columnas de "Cat. Padre Relacionado" y "Elem. Padre Relacionado".</t>
  </si>
  <si>
    <t>CAT 078</t>
  </si>
  <si>
    <t>Validar elemento primario o HIERARCHICAL en columnas de relación</t>
  </si>
  <si>
    <t>Para elementos de catálogo primario o HIERARCHICAL, el grid muestra (No aplica) en las columnas de "Cat. Padre Relacionado" y "Elem. Padre Relacionado".</t>
  </si>
  <si>
    <t>CAT 079</t>
  </si>
  <si>
    <t>Validar filtro Catálogo Padre en Elementos</t>
  </si>
  <si>
    <t>El filtro Catálogo Padre permite seleccionar catálogos primarios o HIERARCHICAL para consultar elementos relacionados.</t>
  </si>
  <si>
    <t>CAT 080</t>
  </si>
  <si>
    <t>Validar habilitación de filtro Elemento Padre</t>
  </si>
  <si>
    <t>El filtro Elemento Padre se habilita únicamente después de seleccionar un Catálogo Padre.</t>
  </si>
  <si>
    <t>CAT 081</t>
  </si>
  <si>
    <t>Validar búsqueda por Elemento Padre</t>
  </si>
  <si>
    <t>Al seleccionar Catálogo Padre y Elemento Padre, al realiza una búsqueda, el grid muestra solo elementos relacionados con ese elemento padre.</t>
  </si>
  <si>
    <t>CAT 082</t>
  </si>
  <si>
    <t>Validar acceso a Nuevo Elemento</t>
  </si>
  <si>
    <t>Al seleccionar Nuevo Elemento, el sistema muestra el formulario con Stepper de tres pasos.</t>
  </si>
  <si>
    <t>CAT 083</t>
  </si>
  <si>
    <t>Validar creación de elemento en catálogo primario sin relación</t>
  </si>
  <si>
    <t>Al crear un elemento en catálogo primario, los campos Catálogo Padre y Elemento Padre permanecen deshabilitados y el elemento se guarda sin relación padre.</t>
  </si>
  <si>
    <t>PENDIENTE</t>
  </si>
  <si>
    <t>CAT 084</t>
  </si>
  <si>
    <t>Validar creación de elemento en catálogo secundario sin relación</t>
  </si>
  <si>
    <t>El sistema permite crear un elemento secundario dejando vacíos Catálogo Padre y Elemento Padre.</t>
  </si>
  <si>
    <t>CAT 085</t>
  </si>
  <si>
    <t>Validar creación de elemento secundario con relación padre</t>
  </si>
  <si>
    <t>El sistema permite crear un elemento secundario seleccionando Catálogo Padre primario o HIERARCHICAL y Elemento Padre válido.</t>
  </si>
  <si>
    <t>CAT 086</t>
  </si>
  <si>
    <t>Validar relación incompleta en Nuevo Elemento</t>
  </si>
  <si>
    <t>El sistema no permite guardar si solo se selecciona Catálogo Padre y se deja vacía la selección de Elemento Padre; ambos deben tener valor o ambos quedar vacíos.</t>
  </si>
  <si>
    <t>CAT 087</t>
  </si>
  <si>
    <t>Validar campos obligatorios en Nuevo Elemento</t>
  </si>
  <si>
    <t>Al guardar sin Nombre del elemento y/o sin Fecha Inicio Vigencia, el sistema bloquea el guardado y muestra los mensajes por campo correspondientes.</t>
  </si>
  <si>
    <t>CAT 088</t>
  </si>
  <si>
    <t>Validar Fecha Inicio posterior a Fecha Fin en Nuevo Elemento</t>
  </si>
  <si>
    <t>El sistema bloquea el guardado cuando Fecha Inicio Vigencia es posterior a Fecha Fin Vigencia.</t>
  </si>
  <si>
    <t>CAT 089</t>
  </si>
  <si>
    <t>Validar duplicidad de nombre en catálogo primario o HIERARCHICAL</t>
  </si>
  <si>
    <t>El sistema bloquea la creación si el nombre ya existe dentro del catálogo primario o HIERARCHICAL, considerando TRIM y comparación case-insensitive.</t>
  </si>
  <si>
    <t>CAT 090</t>
  </si>
  <si>
    <t>Validar duplicidad en catálogo secundario con diferente relación padre</t>
  </si>
  <si>
    <t>El sistema permite crear un elemento con el mismo nombre en un catálogo secundario cuando se relaciona con un Elemento Padre diferente.</t>
  </si>
  <si>
    <t>CAT 091</t>
  </si>
  <si>
    <t>Validar duplicidad en catálogo secundario con misma relación padre</t>
  </si>
  <si>
    <t>El sistema bloquea la creación y muestra: “Ya existe un elemento con este nombre para el elemento padre seleccionado.”</t>
  </si>
  <si>
    <t>CAT 092</t>
  </si>
  <si>
    <t>Validar normalización de nombre en duplicidad contextual</t>
  </si>
  <si>
    <t>El sistema considera duplicados los nombres equivalentes por TRIM y mayúsculas/minúsculas cuando coinciden catálogo destino y relación padre.</t>
  </si>
  <si>
    <t>CAT 093</t>
  </si>
  <si>
    <t>Validar duplicidad contextual al editar nombre o relación padre</t>
  </si>
  <si>
    <t>El sistema bloquea la edición si el cambio genera una combinación duplicada de catálogo, nombre normalizado, Catálogo Padre y Elemento Padre.</t>
  </si>
  <si>
    <t>CAT 094</t>
  </si>
  <si>
    <t>Validar Valor de Conversión vacío en Nuevo Elemento</t>
  </si>
  <si>
    <t>El sistema permite crear un elemento dejando vacío Valor de Conversión y persiste el valor como vacío/NULL.</t>
  </si>
  <si>
    <t>CAT 095</t>
  </si>
  <si>
    <t>Validar Valor de Conversión válido en Nuevo Elemento</t>
  </si>
  <si>
    <t>El sistema permite capturar Valor de Conversión de hasta 50 caracteres válidos, conserva mayúsculas/minúsculas y permite consultarlo posteriormente al editar.</t>
  </si>
  <si>
    <t>CAT 096</t>
  </si>
  <si>
    <t>Validar Valor de Conversión inválido en Nuevo Elemento</t>
  </si>
  <si>
    <t>El sistema rechaza Valor de Conversión con espacios, caracteres especiales no permitidos o más de 50 caracteres, mostrando el mensaje definido.</t>
  </si>
  <si>
    <t>CAT 097</t>
  </si>
  <si>
    <t>Validar mensaje de éxito al crear elemento con Valor de Conversión</t>
  </si>
  <si>
    <t>Al crear con Valor de Conversión, el sistema muestra: “El elemento '[nombre]' se ha creado exitosamente con su valor de conversión.”</t>
  </si>
  <si>
    <t>CAT 098</t>
  </si>
  <si>
    <t>Validar botón Limpiar en Nuevo Elemento</t>
  </si>
  <si>
    <t>Al presionar Limpiar, se vacían los campos capturados, incluido Valor de Conversión, se restablecen dropdowns y se pliegan pasos 2 y 3.</t>
  </si>
  <si>
    <t>CAT 099</t>
  </si>
  <si>
    <t>Validar acceso y render inicial de Editar Elemento</t>
  </si>
  <si>
    <t>Al ingresar a Editar Elemento, se muestra la pantalla con datos precargados, Paso 1 desplegado, pasos 2 y 3 colapsados y botones disponibles.</t>
  </si>
  <si>
    <t>CAT 100</t>
  </si>
  <si>
    <t>Validar precarga de Valor de Conversión en Editar Elemento</t>
  </si>
  <si>
    <t>Si el elemento tiene Valor de Conversión, el campo se muestra precargado; si no tiene, se muestra vacío.</t>
  </si>
  <si>
    <t>CAT 101</t>
  </si>
  <si>
    <t>Validar agregar Valor de Conversión en Editar Elemento</t>
  </si>
  <si>
    <t>Al agregar Valor de Conversión a un elemento que no lo tenía, el sistema guarda el valor y muestra: “El elemento '[nombre]' se ha actualizado y ahora tiene valor de conversión.”</t>
  </si>
  <si>
    <t>CAT 102</t>
  </si>
  <si>
    <t>Validar modificar Valor de Conversión en Editar Elemento</t>
  </si>
  <si>
    <t>Al modificar Valor de Conversión, el sistema guarda el nuevo valor y muestra: “El elemento '[nombre]' y su valor de conversión se han actualizado exitosamente.”</t>
  </si>
  <si>
    <t>CAT 103</t>
  </si>
  <si>
    <t>Validar eliminar Valor de Conversión en Editar Elemento</t>
  </si>
  <si>
    <t>Al borrar Valor de Conversión y guardar, el campo queda vacío al editar nuevamente y se muestra: “El elemento '[nombre]' se ha actualizado. El valor de conversión ha sido eliminado.”</t>
  </si>
  <si>
    <t>CAT 104</t>
  </si>
  <si>
    <t>Validar agregar relación padre en Editar Elemento</t>
  </si>
  <si>
    <t>El sistema permite agregar relación padre a un elemento secundario sin relación y la relación se visualiza posteriormente en el grid de Elementos.</t>
  </si>
  <si>
    <t>CAT 105</t>
  </si>
  <si>
    <t>Validar cambio de relación padre en Editar Elemento</t>
  </si>
  <si>
    <t>Al cambiar una relación existente y hacer clic en Guardar Elemento, el sistema muestra modal de confirmación y aplica el cambio solo al confirmar.</t>
  </si>
  <si>
    <t>CAT 106</t>
  </si>
  <si>
    <t>Validar cancelación de cambio de relación padre</t>
  </si>
  <si>
    <t>Al cancelar la modal de cambio de relación, el sistema conserva la relación padre original y permanece en pantalla.</t>
  </si>
  <si>
    <t>CAT 107</t>
  </si>
  <si>
    <t>Validar eliminación de relación padre en Editar Elemento</t>
  </si>
  <si>
    <t>Al eliminar una relación existente y hacer clic en Guardar Elemento, el sistema muestra modal de confirmación y elimina la relación solo al confirmar.</t>
  </si>
  <si>
    <t>CAT 108</t>
  </si>
  <si>
    <t>Validar cancelación de eliminación de relación padre</t>
  </si>
  <si>
    <t>Al cancelar la modal de eliminación, el sistema conserva la relación padre existente y permanece en pantalla.</t>
  </si>
  <si>
    <t>CAT 109</t>
  </si>
  <si>
    <t>Validar habilitación de pasos 2 y 3 en Nuevo Elemento</t>
  </si>
  <si>
    <t>Al capturar Nombre y Fecha Inicio válidos, el sistema habilita o permite desplegar Paso 2 y Paso 3.</t>
  </si>
  <si>
    <t>CAT 110</t>
  </si>
  <si>
    <t>Validar habilitación de pasos 2 y 3 en Editar Elemento</t>
  </si>
  <si>
    <t>Si Nombre y Fecha Inicio son válidos, el sistema permite desplegar o habilitar Paso 2 y Paso 3.</t>
  </si>
  <si>
    <t>CAT 111</t>
  </si>
  <si>
    <t>Validar límite de captura (100) de Nombre del elemento al crear</t>
  </si>
  <si>
    <t>Al pegar o capturar una cadena mayor a 100 caracteres, el campo queda topado a 100 caracteres (case-sensitive) e impide ingresar el carácter 101.</t>
  </si>
  <si>
    <t>CAT 112</t>
  </si>
  <si>
    <t>Validar límite de captura (100) de Nombre del elemento al editar</t>
  </si>
  <si>
    <t>CAT 113</t>
  </si>
  <si>
    <t>Validar límite de captura (100) de Valor del elemento al crear</t>
  </si>
  <si>
    <t>Al pegar o capturar una cadena mayor a 100 caracteres, el campo Valor del elemento queda topado a 100 caracteres, case-sensitive.</t>
  </si>
  <si>
    <t>CAT 114</t>
  </si>
  <si>
    <t>Validar límite de captura (100) de Valor del elemento al editar</t>
  </si>
  <si>
    <t>CAT 115</t>
  </si>
  <si>
    <t>Validar caracteres no permitidos en Valor del elemento al crear</t>
  </si>
  <si>
    <t>El sistema rechaza puntuación, caracteres especiales, comillas y barras en Valor del elemento.</t>
  </si>
  <si>
    <t>CAT 116</t>
  </si>
  <si>
    <t>Validar caracteres no permitidos en Valor del elemento al editar</t>
  </si>
  <si>
    <t>CAT 117</t>
  </si>
  <si>
    <t>Validar Fecha Fin menor o igual a fecha actual en Nuevo Elemento</t>
  </si>
  <si>
    <t>El sistema rechaza Fecha Fin cuando es menor o igual a la fecha actual.</t>
  </si>
  <si>
    <t>CAT 118</t>
  </si>
  <si>
    <t>Validar Fecha Inicio posterior a Fecha Fin en Editar Elemento</t>
  </si>
  <si>
    <t>El sistema bloquea la actualización cuando Fecha Inicio es posterior a Fecha Fin.</t>
  </si>
  <si>
    <t>CAT 119</t>
  </si>
  <si>
    <t>Validar Fecha Fin menor o igual a fecha actual en Editar Elemento</t>
  </si>
  <si>
    <t>CAT 120</t>
  </si>
  <si>
    <t>Validar Valor de Conversión inválido en Editar Elemento</t>
  </si>
  <si>
    <t>CAT 121</t>
  </si>
  <si>
    <t>Validar tooltip de ayuda de Valor de Conversión</t>
  </si>
  <si>
    <t>Al posicionarse sobre el ícono de ayuda, se muestra el texto contextual definido para Valor de Conversión.</t>
  </si>
  <si>
    <t>CAT 122</t>
  </si>
  <si>
    <t>Validar ComboBox Estado/Estatus obligatorio en Editar Elemento</t>
  </si>
  <si>
    <t>El ComboBox Estado/Estatus es obligatorio, muestra únicamente los valores 'Activado' y 'Desactivado', siempre conserva un valor seleccionado y solo aparece en la pantalla Editar Elemento.</t>
  </si>
  <si>
    <t>CAT 123</t>
  </si>
  <si>
    <t>Validar actualización de Estado/Estatus a Desactivado</t>
  </si>
  <si>
    <t>El sistema permite cambiar Estado/Estatus a 'Desactivado', persiste el cambio y conserva el valor al volver a editar y consultar el elemento en el grid.</t>
  </si>
  <si>
    <t>CAT 129</t>
  </si>
  <si>
    <t>CAT 124</t>
  </si>
  <si>
    <t>Validar actualización de Estado/Estatus a Activado</t>
  </si>
  <si>
    <t>El sistema permite cambiar Estado/Estatus a 'Activado', persiste el cambio y conserva el valor al volver a editar y consultar el elemento en el grid.</t>
  </si>
  <si>
    <t>CAT 125</t>
  </si>
  <si>
    <t>Validar listado de Catálogo Padre en catálogo secundario</t>
  </si>
  <si>
    <t>El dropdown Catálogo Padre muestra catálogos activos de tipo primario o HIERARCHICAL.</t>
  </si>
  <si>
    <t>CAT 126</t>
  </si>
  <si>
    <t>Validar listado de Elemento Padre según Catálogo Padre seleccionado</t>
  </si>
  <si>
    <t>El dropdown Elemento Padre muestra únicamente elementos activos del Catálogo Padre seleccionado.</t>
  </si>
  <si>
    <t>CAT 132</t>
  </si>
  <si>
    <t>CAT 127</t>
  </si>
  <si>
    <t>Validar que Elemento Padre no despliegue lista sin Catálogo Padre</t>
  </si>
  <si>
    <t>Si no se seleccionó Catálogo Padre, el sistema no despliega lista de Elemento Padre.</t>
  </si>
  <si>
    <t>CAT 128</t>
  </si>
  <si>
    <t>Validar que agregar relación desde NULL no requiere confirmación</t>
  </si>
  <si>
    <t>Si el elemento no tenía relación previa, al agregar relación no se muestra modal de confirmación.</t>
  </si>
  <si>
    <t>Validar botón Volver sin captura en Nuevo Elemento</t>
  </si>
  <si>
    <t>Al hacer clic en Volver sin capturar información, el sistema regresa a Ver Catálogo.</t>
  </si>
  <si>
    <t>CAT 130</t>
  </si>
  <si>
    <t>Validar botón Volver con captura en Nuevo Elemento</t>
  </si>
  <si>
    <t>Al hacer clic en Volver con información capturada, se muestra modal de advertencia; Sí descarta cambios y regresa, No permanece en pantalla.</t>
  </si>
  <si>
    <t>CAT 131</t>
  </si>
  <si>
    <t>Validar botón Volver sin cambios en Editar Elemento</t>
  </si>
  <si>
    <t>Al hacer clic en Volver sin cambios, el sistema regresa a Ver Catálogo.</t>
  </si>
  <si>
    <t>Validar botón Volver con cambios en Editar Elemento</t>
  </si>
  <si>
    <t>Al hacer clic en Volver con cambios, se muestra modal: “La información editada del elemento se perderá. ¿Desea continuar?”</t>
  </si>
  <si>
    <t>CAT 133</t>
  </si>
  <si>
    <t>Validar error funcional por falta de permisos al crear elemento</t>
  </si>
  <si>
    <t>Falló</t>
  </si>
  <si>
    <t>Si el usuario no tiene permisos para crear elementos, se muestra: “No cuenta con permisos para crear elementos.”</t>
  </si>
  <si>
    <t>CAT 134</t>
  </si>
  <si>
    <t>Validar error funcional por falta de permisos al editar elemento</t>
  </si>
  <si>
    <t>Si el usuario no tiene permisos para editar elementos, se muestra: “No cuenta con permisos para editar elementos.”</t>
  </si>
  <si>
    <t>CAT 135</t>
  </si>
  <si>
    <t>Validar botón Limpiar con modificaciones realizadas en Editar Elemento</t>
  </si>
  <si>
    <t>Si hay modificaciones, al hacer clic en Limpiar todos los campos regresan a los valores precargados al iniciar edición y no se muestra modal.</t>
  </si>
  <si>
    <t>CAT 136</t>
  </si>
  <si>
    <t>Validar botón Limpiar sin modificaciones en Editar Elemento</t>
  </si>
  <si>
    <t>Si no hay modificaciones, al hacer clic en Limpiar no ocurre ningún cambio visible ni se muestra mensaje o modal.</t>
  </si>
  <si>
    <t>CAT 137</t>
  </si>
  <si>
    <t>Validar Importar Elementos con layout A-G</t>
  </si>
  <si>
    <t>La pantalla Importar Elementos acepta el layout vigente A-G para cargar elementos a un catálogo existente activo.</t>
  </si>
  <si>
    <t>CAT 138</t>
  </si>
  <si>
    <t>Validar tipoCatalogo coincidente en Importar Elementos</t>
  </si>
  <si>
    <t>El sistema acepta el layout cuando tipoCatalogo coincide con el tipo del catálogo destino.</t>
  </si>
  <si>
    <t>CAT 139</t>
  </si>
  <si>
    <t>Validar rechazo por tipoCatalogo no coincidente en Importar Elementos</t>
  </si>
  <si>
    <t>El sistema rechaza el layout cuando tipoCatalogo no coincide con el tipo del catálogo destino.</t>
  </si>
  <si>
    <t>CAT 140</t>
  </si>
  <si>
    <t>Validar pantalla Conversiones con listado inicial</t>
  </si>
  <si>
    <t>La pantalla "Conversiones" muestra los siguientes elementos: Título, Tarjeta con datos del elemento seleccionado, Descripción, Filtros vacíos, Nueva Conversión, Borrar Seleccionados, Buscar, Limpiar, Volver y estado inicial sin grid, exportación ni paginador.</t>
  </si>
  <si>
    <t>CAT 141</t>
  </si>
  <si>
    <t>Validar búsqueda general de conversiones</t>
  </si>
  <si>
    <t>Al buscar sin filtros, el sistema muestra todas las conversiones del elemento origen sin importar estatus.</t>
  </si>
  <si>
    <t>CAT 142</t>
  </si>
  <si>
    <t>Validar búsqueda filtrada de conversiones</t>
  </si>
  <si>
    <t>El sistema aplica coincidencia exacta para ID Elemento y coincidencia parcial para Elemento, Valor y Catálogo Origen.</t>
  </si>
  <si>
    <t>CAT 143</t>
  </si>
  <si>
    <t>Validar exportación ALL de conversiones</t>
  </si>
  <si>
    <t>Si no hay selección, la exportación incluye todas las conversiones resultantes de la búsqueda vigente.</t>
  </si>
  <si>
    <t>CAT 144</t>
  </si>
  <si>
    <t>Validar exportación SELECTED de conversiones</t>
  </si>
  <si>
    <t>Si existen conversiones seleccionadas, la exportación contiene únicamente esos registros.</t>
  </si>
  <si>
    <t>CAT 145</t>
  </si>
  <si>
    <t>Validar creación de conversión sin principal previa</t>
  </si>
  <si>
    <t>Si no existe conversión principal activa para el elemento origen, la nueva conversión se crea como principal y Activa.</t>
  </si>
  <si>
    <t>CAT 146</t>
  </si>
  <si>
    <t>Validar creación de conversión con principal existente</t>
  </si>
  <si>
    <t>Si ya existe conversión principal activa, la nueva conversión se crea sin reemplazar automáticamente a la principal existente.</t>
  </si>
  <si>
    <t>CAT 147</t>
  </si>
  <si>
    <t>Validar bloqueo de conversión duplicada</t>
  </si>
  <si>
    <t>El sistema bloquea guardar una conversión cuando ya existe la combinación elemento origen y elemento destino.</t>
  </si>
  <si>
    <t>CAT 148</t>
  </si>
  <si>
    <t>Validar edición de conversión con datos precargados</t>
  </si>
  <si>
    <t>Al seleccionar Editar Conversión, el sistema muestra los datos actuales de la conversión en el formulario.</t>
  </si>
  <si>
    <t>CAT 149</t>
  </si>
  <si>
    <t>Validar edición de conversión principal</t>
  </si>
  <si>
    <t>Al editar una conversión principal, el sistema mantiene la conversión con estatus Activo.</t>
  </si>
  <si>
    <t>CAT 150</t>
  </si>
  <si>
    <t>Validar marcar conversión como principal</t>
  </si>
  <si>
    <t>Al marcar otra conversión como principal, el sistema la deja Activa y desactiva la principal anterior del mismo elemento origen.</t>
  </si>
  <si>
    <t>CAT 151</t>
  </si>
  <si>
    <t>Validar desmarcar conversión principal</t>
  </si>
  <si>
    <t>Al desmarcar la conversión principal, el sistema la cambia a Inactiva y muestra mensaje informativo.</t>
  </si>
  <si>
    <t>CAT 152</t>
  </si>
  <si>
    <t>Validar borrar conversión individual</t>
  </si>
  <si>
    <t>Al confirmar el borrado individual, el sistema elimina la conversión permitida y actualiza el grid.</t>
  </si>
  <si>
    <t>CAT 153</t>
  </si>
  <si>
    <t>Validar borrado masivo de conversiones seleccionadas</t>
  </si>
  <si>
    <t>Al confirmar el borrado masivo, el sistema elimina las conversiones seleccionadas permitidas y actualiza el grid.</t>
  </si>
  <si>
    <t>CAT 154</t>
  </si>
  <si>
    <t>Validar botón Borrar Seleccionados sin selección</t>
  </si>
  <si>
    <t>El botón Borrar Seleccionados permanece deshabilitado cuando no existen conversiones seleccionadas.</t>
  </si>
  <si>
    <t>CAT 155</t>
  </si>
  <si>
    <t>SIT funcional crear catálogo con layout A-G y consultar Total Elementos</t>
  </si>
  <si>
    <t>Después de crear un catálogo con layout A-G válido, el listado de Catálogos muestra el Total Elementos correspondiente y permite consultar los elementos cargados.</t>
  </si>
  <si>
    <t>CAT 156</t>
  </si>
  <si>
    <t>SIT funcional cargar elementos con valorConversion y editar elemento</t>
  </si>
  <si>
    <t>Después de cargar layout con valorConversion, al editar un elemento cargado se muestra el Valor de Conversión correspondiente.</t>
  </si>
  <si>
    <t>CAT 157</t>
  </si>
  <si>
    <t>SIT funcional crear elemento secundario con relación y consultar grid</t>
  </si>
  <si>
    <t>Después de crear un elemento secundario con relación padre, el grid de Elementos muestra Catálogo Padre Relacionado y Elemento Padre Relacionado correctos.</t>
  </si>
  <si>
    <t>CAT 158</t>
  </si>
  <si>
    <t>SIT funcional editar relación padre y consultar grid</t>
  </si>
  <si>
    <t>Después de cambiar una relación padre y confirmar la modal, el grid muestra la nueva relación del elemento.</t>
  </si>
  <si>
    <t>CAT 159</t>
  </si>
  <si>
    <t>SIT funcional eliminar relación padre y consultar grid</t>
  </si>
  <si>
    <t>Después de eliminar una relación padre y confirmar la modal, el grid muestra (Sin relación) para el elemento secundario.</t>
  </si>
  <si>
    <t>CAT 160</t>
  </si>
  <si>
    <t>SIT funcional crear, editar y eliminar Valor de Conversión</t>
  </si>
  <si>
    <t>El usuario crea un elemento con Valor de Conversión, lo modifica en edición, luego lo elimina y valida cada cambio al volver a editar.</t>
  </si>
  <si>
    <t>CAT 161</t>
  </si>
  <si>
    <t>SIT funcional exportar Catálogos después de carga masiva</t>
  </si>
  <si>
    <t>Después de cargar elementos mediante layout, la exportación de Catálogos incluye el Total Elementos actualizado.</t>
  </si>
  <si>
    <t>CAT 162</t>
  </si>
  <si>
    <t>SIT funcional exportar Elementos después de importación</t>
  </si>
  <si>
    <t>Después de importar elementos, la exportación de Elementos genera archivo con registros reales conforme a la búsqueda vigente.</t>
  </si>
  <si>
    <t>CAT 163</t>
  </si>
  <si>
    <t>SIT funcional Valor de Conversión base y conversiones múltiples</t>
  </si>
  <si>
    <t>Un elemento con Valor de Conversión base puede seguir gestionando conversiones múltiples desde la pantalla Conversiones sin sustituir ese flujo.</t>
  </si>
  <si>
    <t>CAT 164</t>
  </si>
  <si>
    <t>Validar ordenamiento de columnas de relación con valores especiales</t>
  </si>
  <si>
    <t>Al ordenar por 'Catálogo Padre Relacionado' o 'Elemento Padre Relacionado', el grid ordena alfabéticamente por nombre real y coloca siempre '(Sin relación)' y '(No aplica)' al final, tanto en ordenamiento ascendente como descendente.</t>
  </si>
  <si>
    <t>CAT 165</t>
  </si>
  <si>
    <t>[PROPUESTA PO] Validar desmarcar conversión principal sin designar otra</t>
  </si>
  <si>
    <t>PROPUESTA PO (requiere confirmación): Al desmarcar la conversión principal sin designar otra como principal, el sistema debe solicitar confirmación, advertir que el elemento quedará sin conversión principal activa y registrar la acción en auditoría (usuario, timestamp, idConversión). Pendiente definir si el estado 'sin principal' es válido.</t>
  </si>
  <si>
    <t>CAT 166</t>
  </si>
  <si>
    <t>[PROPUESTA PO] Validar interacción de Valor de Conversión base (external_key) con nueva conversión desde pantalla Conversiones</t>
  </si>
  <si>
    <t>PROPUESTA PO (requiere definición): Dado un elemento con external_key cargado vía layout, al crear una nueva conversión desde la pantalla Conversiones el sistema debe definir el comportamiento del valor base: opción A) el external_key base se registra como primera conversión (Inactiva) y la nueva pasa a Principal/Activa; opción B) coexisten sin afectarse. Validar consistencia de datos y auditoría en ambos casos.</t>
  </si>
  <si>
    <t>CAT 177</t>
  </si>
  <si>
    <t>PAR 001</t>
  </si>
  <si>
    <t>Validar acceso a pantalla Configuración de Parámetros con usuario autorizado</t>
  </si>
  <si>
    <t>Configuración de Parámetros</t>
  </si>
  <si>
    <t>El sistema muestra la pantalla Configuración de Parámetros con breadcrumbs, título, descripción, filtros, botón Nuevo Parámetro y grid inicial</t>
  </si>
  <si>
    <t>PAR 002</t>
  </si>
  <si>
    <t>Seleccionar opción de Parámetros</t>
  </si>
  <si>
    <t>PAR 003</t>
  </si>
  <si>
    <t>Validar estado inicial del grid sin consulta ejecutada</t>
  </si>
  <si>
    <t>El grid se muestra vacío y se visualiza el mensaje Para visualizar los parámetros, por favor utilice los filtros y presione Buscar</t>
  </si>
  <si>
    <t>PAR 004</t>
  </si>
  <si>
    <t>Validar visualización de columnas del grid después de una búsqueda exitosa</t>
  </si>
  <si>
    <t>El grid muestra las columnas definidas incluyendo selección, ID Parámetro, Nombre Parámetro, Descripción, Módulo, Tipo Parámetro, Valor, Versión, Fechas, Estatus, Auditoría, Editar y Activar/Desactivar</t>
  </si>
  <si>
    <t>PAR 005</t>
  </si>
  <si>
    <t>Validar búsqueda default sin filtros</t>
  </si>
  <si>
    <t>Crítico</t>
  </si>
  <si>
    <t>El sistema muestra únicamente la última versión vigente de cada parámetro independientemente de su estatus Activo o Inactivo</t>
  </si>
  <si>
    <t>PAR 006</t>
  </si>
  <si>
    <t>Validar que parámetro inactivo manualmente pero vigente aparezca en búsqueda default</t>
  </si>
  <si>
    <t>El parámetro inactivo manualmente se muestra en el grid si es la última versión y su Fecha Fin Vigencia no ha vencido</t>
  </si>
  <si>
    <t>PAR 007</t>
  </si>
  <si>
    <t>Validar que parámetro caducado no aparezca en búsqueda default</t>
  </si>
  <si>
    <t>El parámetro con Fecha Fin Vigencia vencida no se muestra en la consulta default</t>
  </si>
  <si>
    <t>PAR 008</t>
  </si>
  <si>
    <t>Validar parámetro con Fecha Fin Vigencia nula en búsqueda default</t>
  </si>
  <si>
    <t>El parámetro sin Fecha Fin Vigencia se considera vigente y se muestra si es la última versión</t>
  </si>
  <si>
    <t>PAR 009</t>
  </si>
  <si>
    <t>Validar parámetro con Fecha Fin Vigencia igual al día actual</t>
  </si>
  <si>
    <t>El parámetro se muestra como vigente durante el día definido como Fecha Fin Vigencia</t>
  </si>
  <si>
    <t>PAR 010</t>
  </si>
  <si>
    <t>Validar búsqueda por ID Parámetro existente</t>
  </si>
  <si>
    <t>El sistema muestra el parámetro coincidente con el ID capturado respetando reglas de vigencia e histórico aplicables</t>
  </si>
  <si>
    <t>PAR 011</t>
  </si>
  <si>
    <t>Validar búsqueda por Nombre Parámetro con coincidencia parcial</t>
  </si>
  <si>
    <t>El sistema muestra parámetros cuyo nombre contiene el texto capturado</t>
  </si>
  <si>
    <t>PAR 012</t>
  </si>
  <si>
    <t>Validar búsqueda por Nombre Parámetro sin distinguir mayúsculas y minúsculas</t>
  </si>
  <si>
    <t>El sistema retorna coincidencias del nombre sin considerar diferencias entre mayúsculas y minúsculas</t>
  </si>
  <si>
    <t>PAR 013</t>
  </si>
  <si>
    <t>Validar búsqueda por filtro Módulo</t>
  </si>
  <si>
    <t>El sistema muestra únicamente parámetros asociados al módulo seleccionado</t>
  </si>
  <si>
    <t>PAR 014</t>
  </si>
  <si>
    <t>Validar búsqueda por filtro Tipo Parámetro</t>
  </si>
  <si>
    <t>El sistema muestra únicamente parámetros asociados al tipo de parámetro seleccionado</t>
  </si>
  <si>
    <t>PAR 015</t>
  </si>
  <si>
    <t>Validar búsqueda por filtro Estatus Activo</t>
  </si>
  <si>
    <t>El sistema muestra únicamente parámetros vigentes con estatus Activo y el filtro Incluir Historial queda deshabilitado</t>
  </si>
  <si>
    <t>PAR 016</t>
  </si>
  <si>
    <t>Validar búsqueda por filtro Estatus Inactivo</t>
  </si>
  <si>
    <t>El sistema muestra parámetros vigentes con estatus Inactivo cuando corresponda a última versión inactiva manualmente</t>
  </si>
  <si>
    <t>PAR 017</t>
  </si>
  <si>
    <t>Validar deshabilitado de Incluir Historial al seleccionar Estatus Activo</t>
  </si>
  <si>
    <t>El checkbox Incluir Historial se muestra deshabilitado cuando el filtro Estatus tiene valor Activo</t>
  </si>
  <si>
    <t>PAR 018</t>
  </si>
  <si>
    <t>Validar búsqueda histórica sin filtros adicionales</t>
  </si>
  <si>
    <t>El sistema muestra parámetros históricos que alcanzaron Fecha Fin Vigencia o quedaron inactivos por versionado</t>
  </si>
  <si>
    <t>PAR 019</t>
  </si>
  <si>
    <t>Validar búsqueda con filtros e Incluir Historial activo</t>
  </si>
  <si>
    <t>El sistema muestra registros que cumplen los filtros aplicados incluyendo históricos por vencimiento o por versionado</t>
  </si>
  <si>
    <t>PAR 020</t>
  </si>
  <si>
    <t>Validar que versión actual más nueva no se clasifique como histórica</t>
  </si>
  <si>
    <t>La versión actual o más nueva del parámetro no se trata como histórica si no alcanzó Fecha Fin Vigencia ni quedó inactiva por versionado</t>
  </si>
  <si>
    <t>PAR 021</t>
  </si>
  <si>
    <t>Validar mensaje cuando la búsqueda no devuelve resultados</t>
  </si>
  <si>
    <t>El sistema muestra el mensaje No se encontraron parámetros registrados</t>
  </si>
  <si>
    <t>PAR 022</t>
  </si>
  <si>
    <t>Validar contador de parámetros encontrados</t>
  </si>
  <si>
    <t>El contador muestra el total de parámetros encontrados por la consulta y no solo los registros de la página actual</t>
  </si>
  <si>
    <t>PAR 023</t>
  </si>
  <si>
    <t>Validar paginación de resultados</t>
  </si>
  <si>
    <t>El grid muestra 10 registros por página y permite navegar entre páginas sin alterar los resultados de la consulta</t>
  </si>
  <si>
    <t>PAR 024</t>
  </si>
  <si>
    <t>Validar ordenamiento por Fecha Registro</t>
  </si>
  <si>
    <t>Los resultados del grid se ordenan conforme a la Fecha Registro esperada</t>
  </si>
  <si>
    <t>PAR 025</t>
  </si>
  <si>
    <t>Validar botón Limpiar en barra de filtros</t>
  </si>
  <si>
    <t>El sistema limpia campos de texto, restablece catálogos y desmarca Incluir Historial</t>
  </si>
  <si>
    <t>PAR 026</t>
  </si>
  <si>
    <t>Validar botón Volver desde pantalla principal</t>
  </si>
  <si>
    <t>El sistema redirige a la pantalla Herramientas y Utilerías</t>
  </si>
  <si>
    <t>PAR 027</t>
  </si>
  <si>
    <t>Validar carga de catálogos de Módulo, Tipo Parámetro y Estatus</t>
  </si>
  <si>
    <t>Los catálogos se muestran con valores disponibles para selección en filtros y formularios</t>
  </si>
  <si>
    <t>PAR 028</t>
  </si>
  <si>
    <t>Validar que grid muestre nombre de Módulo y Tipo Parámetro</t>
  </si>
  <si>
    <t>El grid muestra nombres funcionales de Módulo y Tipo Parámetro, no IDs</t>
  </si>
  <si>
    <t>PAR 029</t>
  </si>
  <si>
    <t>Validar habilitación de Exportar como con resultados en grid</t>
  </si>
  <si>
    <t>El botón Exportar como se muestra o habilita únicamente cuando existe al menos un registro en el grid</t>
  </si>
  <si>
    <t>PAR 030</t>
  </si>
  <si>
    <t>Validar restricción de exportación sin datos</t>
  </si>
  <si>
    <t>El sistema no permite exportar cuando no existen datos en pantalla</t>
  </si>
  <si>
    <t>PAR 031</t>
  </si>
  <si>
    <t>Validar opciones de exportación CSV y XLSX</t>
  </si>
  <si>
    <t>Al seleccionar Exportar como, el sistema muestra las opciones Archivo CSV y Archivo XLSX</t>
  </si>
  <si>
    <t>PAR 032</t>
  </si>
  <si>
    <t>Validar exportación CSV sin selección</t>
  </si>
  <si>
    <t>El archivo CSV contiene todos los resultados de la consulta filtrada en todas las páginas</t>
  </si>
  <si>
    <t>PAR 033</t>
  </si>
  <si>
    <t>Validar exportación XLSX sin selección</t>
  </si>
  <si>
    <t>El archivo XLSX contiene todos los resultados de la consulta filtrada en todas las páginas</t>
  </si>
  <si>
    <t>PAR 034</t>
  </si>
  <si>
    <t>Validar exportación respetando filtros aplicados</t>
  </si>
  <si>
    <t>El archivo exportado incluye únicamente registros que cumplen los filtros aplicados en la búsqueda</t>
  </si>
  <si>
    <t>PAR 035</t>
  </si>
  <si>
    <t>Validar persistencia de selección al cambiar de página</t>
  </si>
  <si>
    <t>Los registros seleccionados permanecen seleccionados al navegar entre páginas del grid</t>
  </si>
  <si>
    <t>PAR 036</t>
  </si>
  <si>
    <t>Validar exportación con selección en una página</t>
  </si>
  <si>
    <t>El archivo exportado contiene únicamente los registros seleccionados por el usuario</t>
  </si>
  <si>
    <t>PAR 037</t>
  </si>
  <si>
    <t>Validar exportación con selección en múltiples páginas</t>
  </si>
  <si>
    <t>El archivo exportado contiene únicamente los registros seleccionados en todas las páginas recorridas</t>
  </si>
  <si>
    <t>PAR 038</t>
  </si>
  <si>
    <t>Validar alerta al exportar más de 5000 registros</t>
  </si>
  <si>
    <t>El sistema muestra una alerta y no permite exportar cuando el total a exportar supera 5000 registros</t>
  </si>
  <si>
    <t>PAR 039</t>
  </si>
  <si>
    <t>Validar nombre de archivo exportado</t>
  </si>
  <si>
    <t>El archivo descargado usa el nombre Parametros_YYYYMMDD_HHmm con la extensión correspondiente</t>
  </si>
  <si>
    <t>PAR 040</t>
  </si>
  <si>
    <t>Validar acceso a pantalla Nuevo Parámetro</t>
  </si>
  <si>
    <t>Al seleccionar Nuevo Parámetro, el sistema muestra el formulario de creación con breadcrumbs, título, descripción, campos y acciones definidas</t>
  </si>
  <si>
    <t>PAR 041</t>
  </si>
  <si>
    <t>Validar campos obligatorios en creación</t>
  </si>
  <si>
    <t>Al guardar con campos obligatorios incompletos, el sistema muestra el mensaje Falta la captura de algunos campos obligatorios</t>
  </si>
  <si>
    <t>PAR 042</t>
  </si>
  <si>
    <t>Validar creación exitosa de parámetro</t>
  </si>
  <si>
    <t>El sistema crea el parámetro con versión 1.0, estatus Activo, muestra mensaje de éxito y redirige al listado</t>
  </si>
  <si>
    <t>PAR 043</t>
  </si>
  <si>
    <t>Validar que el parámetro creado requiere búsqueda manual para visualizarse</t>
  </si>
  <si>
    <t>Después de crear y redirigir al listado, el usuario debe ejecutar Buscar para visualizar el nuevo parámetro</t>
  </si>
  <si>
    <t>PAR 044</t>
  </si>
  <si>
    <t>Validar creación con nombre duplicado exacto</t>
  </si>
  <si>
    <t>El sistema bloquea la creación y muestra el mensaje de duplicidad definido para nombre existente</t>
  </si>
  <si>
    <t>PAR 045</t>
  </si>
  <si>
    <t>Validar creación con nombre duplicado usando distinta capitalización</t>
  </si>
  <si>
    <t>El sistema identifica la duplicidad sin distinguir mayúsculas y minúsculas y muestra el mensaje de duplicidad definido</t>
  </si>
  <si>
    <t>PAR 046</t>
  </si>
  <si>
    <t>Validar longitud máxima de Nombre del parámetro</t>
  </si>
  <si>
    <t>El campo Nombre del parámetro permite hasta 50 caracteres y no permite guardar un valor mayor al máximo definido</t>
  </si>
  <si>
    <t>PAR 047</t>
  </si>
  <si>
    <t>Validar longitud máxima de Descripción del parámetro</t>
  </si>
  <si>
    <t>El campo Descripción del parámetro permite hasta 250 caracteres y controla valores mayores al máximo definido</t>
  </si>
  <si>
    <t>PAR 048</t>
  </si>
  <si>
    <t>Validar longitud máxima de Valor del parámetro</t>
  </si>
  <si>
    <t>El campo Valor del parámetro permite hasta 150 caracteres y no permite guardar un valor mayor al máximo definido</t>
  </si>
  <si>
    <t>PAR 049</t>
  </si>
  <si>
    <t>Validar nombre de parámetro alfanumérico válido</t>
  </si>
  <si>
    <t>El sistema permite guardar nombres compuestos por letras y números conforme a la validación alfanumérica definida</t>
  </si>
  <si>
    <t>PAR 050</t>
  </si>
  <si>
    <t>Validar nombre de parámetro con caracteres especiales no permitidos</t>
  </si>
  <si>
    <t>El sistema bloquea o marca como inválido el nombre cuando contiene caracteres fuera de la validación alfanumérica definida</t>
  </si>
  <si>
    <t>PAR 051</t>
  </si>
  <si>
    <t>Validar normalización de espacios en Nombre del parámetro</t>
  </si>
  <si>
    <t>El sistema controla espacios al inicio o final del nombre para evitar duplicidades funcionales o registros inconsistentes</t>
  </si>
  <si>
    <t>PAR 052</t>
  </si>
  <si>
    <t>Validar Fecha Inicio Vigencia menor a fecha actual en creación</t>
  </si>
  <si>
    <t>El sistema muestra el mensaje La fecha de inicio de la vigencia debe ser igual o mayor a la fecha actual</t>
  </si>
  <si>
    <t>PAR 053</t>
  </si>
  <si>
    <t>Validar Fecha Inicio Vigencia igual a fecha actual en creación</t>
  </si>
  <si>
    <t>El sistema permite guardar el parámetro cuando Fecha Inicio Vigencia es igual a la fecha actual</t>
  </si>
  <si>
    <t>PAR 054</t>
  </si>
  <si>
    <t>Validar Fecha Fin Vigencia menor a Fecha Inicio Vigencia en creación</t>
  </si>
  <si>
    <t>El sistema muestra el mensaje La fecha fin de la vigencia debe ser mayor o igual a la fecha de inicio de la vigencia</t>
  </si>
  <si>
    <t>PAR 055</t>
  </si>
  <si>
    <t>Validar Fecha Fin Vigencia igual a Fecha Inicio Vigencia en creación</t>
  </si>
  <si>
    <t>El sistema permite guardar el parámetro cuando Fecha Fin Vigencia es igual a Fecha Inicio Vigencia</t>
  </si>
  <si>
    <t>PAR 056</t>
  </si>
  <si>
    <t>Validar formato de fechas en UI</t>
  </si>
  <si>
    <t>Las fechas visibles en formularios y grid se muestran en formato dd-mm-aaaa</t>
  </si>
  <si>
    <t>PAR 057</t>
  </si>
  <si>
    <t>Validar botón Volver en creación sin cambios capturados</t>
  </si>
  <si>
    <t>El sistema regresa al listado de Configuración de Parámetros sin guardar información</t>
  </si>
  <si>
    <t>PAR 058</t>
  </si>
  <si>
    <t>Validar botón Volver en creación con cambios no guardados</t>
  </si>
  <si>
    <t>El sistema muestra confirmación antes de salir del formulario con cambios no guardados</t>
  </si>
  <si>
    <t>PAR 059</t>
  </si>
  <si>
    <t>Validar acceso a pantalla Editar Parámetro desde registro vigente última versión</t>
  </si>
  <si>
    <t>El sistema abre el formulario Editar Parámetro con datos actuales precargados</t>
  </si>
  <si>
    <t>PAR 060</t>
  </si>
  <si>
    <t>Validar campos bloqueados en edición</t>
  </si>
  <si>
    <t>Nombre del parámetro, Módulo, Tipo de parámetro y Versión actual se muestran deshabilitados</t>
  </si>
  <si>
    <t>PAR 061</t>
  </si>
  <si>
    <t>Validar campos editables en edición</t>
  </si>
  <si>
    <t>Descripción, Valor, Fecha Inicio Vigencia, Fecha Fin Vigencia y Estatus se muestran editables</t>
  </si>
  <si>
    <t>PAR 062</t>
  </si>
  <si>
    <t>Validar edición solo de Descripción</t>
  </si>
  <si>
    <t>El sistema actualiza la descripción del parámetro sin generar nueva versión</t>
  </si>
  <si>
    <t>PAR 063</t>
  </si>
  <si>
    <t>Validar edición solo de Fechas de vigencia</t>
  </si>
  <si>
    <t>El sistema actualiza las fechas de vigencia del parámetro sin generar nueva versión</t>
  </si>
  <si>
    <t>PAR 064</t>
  </si>
  <si>
    <t>Validar edición solo de Estatus desde formulario</t>
  </si>
  <si>
    <t>El sistema actualiza el estatus del parámetro desde el formulario sin usar el mensaje de éxito del switch</t>
  </si>
  <si>
    <t>PAR 065</t>
  </si>
  <si>
    <t>Validar edición de Valor del parámetro</t>
  </si>
  <si>
    <t>El sistema identifica el cambio del Valor del parámetro y prepara la generación de una nueva versión</t>
  </si>
  <si>
    <t>PAR 066</t>
  </si>
  <si>
    <t>Validar previsualización de siguiente versión al modificar Valor</t>
  </si>
  <si>
    <t>El sistema muestra la siguiente versión calculada antes de guardar el cambio de valor</t>
  </si>
  <si>
    <t>PAR 067</t>
  </si>
  <si>
    <t>Validar confirmación al modificar Valor del parámetro</t>
  </si>
  <si>
    <t>El sistema muestra el mensaje de confirmación indicando que se generará una nueva versión y la anterior quedará inactiva</t>
  </si>
  <si>
    <t>PAR 068</t>
  </si>
  <si>
    <t>Validar cancelación de versionado por cambio de Valor</t>
  </si>
  <si>
    <t>Al cancelar la confirmación, el sistema no guarda cambios ni genera nueva versión</t>
  </si>
  <si>
    <t>PAR 069</t>
  </si>
  <si>
    <t>Validar generación de nueva versión por cambio de Valor</t>
  </si>
  <si>
    <t>Al confirmar, el sistema genera una nueva versión del parámetro y mantiene intacta la versión anterior</t>
  </si>
  <si>
    <t>PAR 070</t>
  </si>
  <si>
    <t>Validar incremento de versión de 1.0 a 1.1</t>
  </si>
  <si>
    <t>Al generar nueva versión desde 1.0, la siguiente versión visible es 1.1</t>
  </si>
  <si>
    <t>PAR 071</t>
  </si>
  <si>
    <t>Validar incremento de versión de 1.9 a 2.0</t>
  </si>
  <si>
    <t>Al generar nueva versión desde 1.9, la siguiente versión visible es 2.0</t>
  </si>
  <si>
    <t>PAR 072</t>
  </si>
  <si>
    <t>Validar que cambio de descripción junto con cambio de valor no modifique versión anterior</t>
  </si>
  <si>
    <t>La nueva versión refleja el valor modificado y la versión anterior conserva su información histórica sin sobrescritura</t>
  </si>
  <si>
    <t>PAR 073</t>
  </si>
  <si>
    <t>Validar búsqueda manual posterior a edición</t>
  </si>
  <si>
    <t>Después de editar, el usuario debe ejecutar Buscar manualmente para visualizar cambios en el listado</t>
  </si>
  <si>
    <t>PAR 074</t>
  </si>
  <si>
    <t>Validar botón Volver en edición con cambios no guardados</t>
  </si>
  <si>
    <t>El sistema muestra confirmación antes de salir del formulario de edición con cambios no guardados</t>
  </si>
  <si>
    <t>PAR 075</t>
  </si>
  <si>
    <t>Validar botón Editar deshabilitado para registros históricos</t>
  </si>
  <si>
    <t>Los registros históricos muestran el botón Editar deshabilitado</t>
  </si>
  <si>
    <t>PAR 076</t>
  </si>
  <si>
    <t>Validar botón Editar deshabilitado para parámetros caducados</t>
  </si>
  <si>
    <t>Los parámetros caducados visibles en histórico muestran el botón Editar deshabilitado</t>
  </si>
  <si>
    <t>PAR 077</t>
  </si>
  <si>
    <t>Validar switch visible según estatus Activo</t>
  </si>
  <si>
    <t>El switch se muestra encendido cuando el parámetro tiene estatus Activo</t>
  </si>
  <si>
    <t>PAR 078</t>
  </si>
  <si>
    <t>Validar switch visible según estatus Inactivo</t>
  </si>
  <si>
    <t>El switch se muestra apagado cuando el parámetro tiene estatus Inactivo</t>
  </si>
  <si>
    <t>PAR 079</t>
  </si>
  <si>
    <t>Validar interacción del switch sin cambio inmediato</t>
  </si>
  <si>
    <t>Al hacer clic en el switch, el estado visual no cambia inmediatamente y se muestra modal de confirmación</t>
  </si>
  <si>
    <t>PAR 080</t>
  </si>
  <si>
    <t>Validar modal de confirmación de cambio de estatus</t>
  </si>
  <si>
    <t>El modal muestra el mensaje de confirmación con el nombre del parámetro y botones Cancelar y Confirmar</t>
  </si>
  <si>
    <t>PAR 081</t>
  </si>
  <si>
    <t>Validar cancelación de cambio de estatus desde switch</t>
  </si>
  <si>
    <t>Al seleccionar Cancelar, el switch permanece en su posición original y no se aplica cambio de estatus</t>
  </si>
  <si>
    <t>PAR 082</t>
  </si>
  <si>
    <t>Validar confirmación de cambio de estatus desde Activo a Inactivo</t>
  </si>
  <si>
    <t>Al confirmar, el switch cambia a apagado, el badge cambia a Inactivo y se muestra mensaje de éxito</t>
  </si>
  <si>
    <t>PAR 083</t>
  </si>
  <si>
    <t>Validar confirmación de cambio de estatus desde Inactivo a Activo</t>
  </si>
  <si>
    <t>Al confirmar, el switch cambia a encendido, el badge cambia a Activo y se muestra mensaje de éxito</t>
  </si>
  <si>
    <t>PAR 084</t>
  </si>
  <si>
    <t>Validar falla funcional al cambiar estatus desde switch</t>
  </si>
  <si>
    <t>Si falla el cambio, el switch permanece o regresa a su posición original y se muestra el mensaje devuelto por la respuesta del sistema cuando exista</t>
  </si>
  <si>
    <t>PAR 085</t>
  </si>
  <si>
    <t>Validar switch deshabilitado para registros históricos</t>
  </si>
  <si>
    <t>Los registros históricos muestran el switch Activar/Desactivar deshabilitado</t>
  </si>
  <si>
    <t>PAR 086</t>
  </si>
  <si>
    <t>Validar switch deshabilitado para parámetros caducados</t>
  </si>
  <si>
    <t>Los parámetros caducados visibles en histórico muestran el switch Activar/Desactivar deshabilitado</t>
  </si>
  <si>
    <t>PAR 087</t>
  </si>
  <si>
    <t>Validar que parámetro desactivado manualmente no sea tratado como histórico</t>
  </si>
  <si>
    <t>El parámetro inactivo manualmente, vigente y última versión se mantiene visible en consulta default y permite reactivación</t>
  </si>
  <si>
    <t>PAR 088</t>
  </si>
  <si>
    <t>Validar flujo SIT crear y consultar parámetro</t>
  </si>
  <si>
    <t>Después de crear un parámetro y ejecutar una búsqueda manual, el parámetro creado aparece en el grid con datos consistentes</t>
  </si>
  <si>
    <t>PAR 089</t>
  </si>
  <si>
    <t>Validar flujo SIT editar descripción y consultar parámetro</t>
  </si>
  <si>
    <t>Después de editar descripción y ejecutar búsqueda manual, el grid muestra la descripción actualizada sin cambio de versión</t>
  </si>
  <si>
    <t>PAR 090</t>
  </si>
  <si>
    <t>Validar flujo SIT versionar y consultar default</t>
  </si>
  <si>
    <t>Después de cambiar el valor y buscar manualmente, el grid muestra la nueva versión como versión vigente del parámetro</t>
  </si>
  <si>
    <t>PAR 091</t>
  </si>
  <si>
    <t>Validar flujo SIT versionar y consultar histórico</t>
  </si>
  <si>
    <t>Después de versionar y buscar con Incluir Historial, el grid muestra la versión anterior histórica y la nueva versión vigente</t>
  </si>
  <si>
    <t>PAR 092</t>
  </si>
  <si>
    <t>Validar flujo SIT cambiar estatus y consultar manualmente</t>
  </si>
  <si>
    <t>Después de cambiar estatus y ejecutar búsqueda manual, el grid refleja el estatus actualizado del parámetro</t>
  </si>
  <si>
    <t>PAR 093</t>
  </si>
  <si>
    <t>Validar regresión de búsqueda con filtros después de crear parámetro</t>
  </si>
  <si>
    <t>Los filtros de ID, Nombre, Módulo, Tipo y Estatus siguen retornando resultados correctos después de crear un parámetro</t>
  </si>
  <si>
    <t>PAR 094</t>
  </si>
  <si>
    <t>Validar regresión de exportación después de aplicar histórico</t>
  </si>
  <si>
    <t>La exportación con Incluir Historial activo incluye todos los registros aplicables de todas las páginas</t>
  </si>
  <si>
    <t>PAR 095</t>
  </si>
  <si>
    <t>Validar regresión de selección multipágina después de limpiar filtros</t>
  </si>
  <si>
    <t>Al limpiar filtros o ejecutar nueva búsqueda, la selección previa deja de aplicar a la nueva consulta</t>
  </si>
  <si>
    <t>PAR 096</t>
  </si>
  <si>
    <t>Validar comportamiento funcional ante edición simultánea de un parámetro</t>
  </si>
  <si>
    <t>Si otro usuario actualiza primero el parámetro, el último intento de guardado no debe generar inconsistencia y debe mostrar error funcional</t>
  </si>
  <si>
    <t>PAR 097</t>
  </si>
  <si>
    <t>Validar riesgo SIT por error 401 o 403 intermitente en edición</t>
  </si>
  <si>
    <t>Si ocurre error 401 o 403 durante edición, el cambio no debe quedar en estado ambiguo para el usuario</t>
  </si>
  <si>
    <t>PAR 098</t>
  </si>
  <si>
    <t>Validar riesgo SIT por error 401 o 403 intermitente en versionado</t>
  </si>
  <si>
    <t>Si ocurre error 401 o 403 durante versionado, no debe mostrarse éxito ni reflejarse una versión inconsistente en la siguiente búsqueda</t>
  </si>
  <si>
    <t>PAR 099</t>
  </si>
  <si>
    <t>Validar parámetro caducado mostrado solo como histórico al día siguiente de Fecha Fin Vigencia</t>
  </si>
  <si>
    <t>Al día siguiente de la Fecha Fin Vigencia, el parámetro deja de aparecer en consulta default y aparece solo con Incluir Historial</t>
  </si>
  <si>
    <t>PAR 100</t>
  </si>
  <si>
    <t>Validar que parámetro caducado requiera nueva versión para reactivarse</t>
  </si>
  <si>
    <t>El parámetro caducado visible en histórico no permite edición ni cambio de estatus directo</t>
  </si>
  <si>
    <t>PAR 101</t>
  </si>
  <si>
    <t>Validar integridad funcional de datos visibles entre grid y formulario de edición</t>
  </si>
  <si>
    <t>Los datos mostrados en el formulario de edición coinciden con el registro seleccionado en el grid</t>
  </si>
  <si>
    <t>TWM001</t>
  </si>
  <si>
    <t>Botón primario único azul (Exportar CSV) visible para Analista General con resultados cargados</t>
  </si>
  <si>
    <t>Three way match</t>
  </si>
  <si>
    <t>Solo un botón azul visible y funcional</t>
  </si>
  <si>
    <t>UI validada</t>
  </si>
  <si>
    <t>1. Ejecutar búsqueda 2. Validar botones</t>
  </si>
  <si>
    <t>TWM010</t>
  </si>
  <si>
    <t>TWM002</t>
  </si>
  <si>
    <t>Seleccionar opción de Three way match</t>
  </si>
  <si>
    <t>TWM003</t>
  </si>
  <si>
    <t>Botones Buscar/Limpiar blancos con Gerente Comercial filtros activos</t>
  </si>
  <si>
    <t>Botones secundarios en blanco correctamente</t>
  </si>
  <si>
    <t>Consistencia visual</t>
  </si>
  <si>
    <t>1. Aplicar filtros 2. Validar botones</t>
  </si>
  <si>
    <t>N/A</t>
  </si>
  <si>
    <t>TWM004</t>
  </si>
  <si>
    <t>Listbox proveedores para Analista Especializado con acceso restringido</t>
  </si>
  <si>
    <t>Solo proveedores asignados visibles</t>
  </si>
  <si>
    <t>UX seguridad</t>
  </si>
  <si>
    <t>1. Abrir filtro proveedor</t>
  </si>
  <si>
    <t>TWM005</t>
  </si>
  <si>
    <t>Default proveedor seleccionado Proveedor Servicios con login</t>
  </si>
  <si>
    <t>Nombre proveedor precargado</t>
  </si>
  <si>
    <t>UX crítico proveedor</t>
  </si>
  <si>
    <t>1. Ingresar 2. Ver filtro</t>
  </si>
  <si>
    <t>TWM006</t>
  </si>
  <si>
    <t>Calendario fijo sin desplazamiento Comprador con selección rango</t>
  </si>
  <si>
    <t>Calendar no se mueve</t>
  </si>
  <si>
    <t>Usabilidad</t>
  </si>
  <si>
    <t>1. Abrir calendario 2. Seleccionar fechas</t>
  </si>
  <si>
    <t>TWM007</t>
  </si>
  <si>
    <t>Fechas default actuales Proveedor Transporte al entrar al módulo</t>
  </si>
  <si>
    <t>Fecha inicio/fin = hoy</t>
  </si>
  <si>
    <t>UX base</t>
  </si>
  <si>
    <t>1. Acceder pantalla</t>
  </si>
  <si>
    <t>TWM008</t>
  </si>
  <si>
    <t>Colores estatus desde API visibles Gerente Transporte con recepciones mixtas</t>
  </si>
  <si>
    <t>Colores coinciden catálogo</t>
  </si>
  <si>
    <t>Dependencia API</t>
  </si>
  <si>
    <t>1. Consultar registros</t>
  </si>
  <si>
    <t>TWM011</t>
  </si>
  <si>
    <t>TWM009</t>
  </si>
  <si>
    <t>Paginación centrada con 10 registros Administrador Funcional consulta masiva</t>
  </si>
  <si>
    <t>Paginación centrada y fija</t>
  </si>
  <si>
    <t>Layout correcto</t>
  </si>
  <si>
    <t>1. Ejecutar consulta</t>
  </si>
  <si>
    <t>Modal obligatorio al error filtros Analista General sin fechas</t>
  </si>
  <si>
    <t>Modal visible bloqueante</t>
  </si>
  <si>
    <t>Manejo errores</t>
  </si>
  <si>
    <t>1. Buscar sin filtros</t>
  </si>
  <si>
    <t>Consulta válida rango &lt;=6 meses Analista General con múltiples proveedores</t>
  </si>
  <si>
    <t>Datos correctos mostrados</t>
  </si>
  <si>
    <t>Base funcional</t>
  </si>
  <si>
    <t>1. Configurar rango 2. Buscar</t>
  </si>
  <si>
    <t>TWM012</t>
  </si>
  <si>
    <t>Consulta combinada OC + recepción Comprador estatus parcial Mercancía</t>
  </si>
  <si>
    <t>Registros coherentes retornados</t>
  </si>
  <si>
    <t>Relación crítica</t>
  </si>
  <si>
    <t>1. Aplicar filtros múltiples</t>
  </si>
  <si>
    <t>TWM013</t>
  </si>
  <si>
    <t>Consulta recepciones sin factura Proveedor Mercancía pendientes pago</t>
  </si>
  <si>
    <t>Registros visibles sin factura</t>
  </si>
  <si>
    <t>Flujo incompleto</t>
  </si>
  <si>
    <t>1. Filtrar por recepción</t>
  </si>
  <si>
    <t>TWM014</t>
  </si>
  <si>
    <t>Consulta con match completo OC-Recepción-Factura-Pago Gerente Financiero</t>
  </si>
  <si>
    <t>Integridad total validada</t>
  </si>
  <si>
    <t>Conciliación crítica</t>
  </si>
  <si>
    <t>1. Buscar caso completo</t>
  </si>
  <si>
    <t>TWM015</t>
  </si>
  <si>
    <t>Consulta por proveedor Transporte Proveedor Transporte con filtro nombre</t>
  </si>
  <si>
    <t>Solo datos propios mostrados</t>
  </si>
  <si>
    <t>Seguridad datos</t>
  </si>
  <si>
    <t>1. Filtrar proveedor</t>
  </si>
  <si>
    <t>TWM016</t>
  </si>
  <si>
    <t>Persistencia filtros navegación Analista regresa desde detalle OC</t>
  </si>
  <si>
    <t>Filtros preservados</t>
  </si>
  <si>
    <t>UX crítica</t>
  </si>
  <si>
    <t>1. Buscar 2. Navegar 3. Regresar</t>
  </si>
  <si>
    <t>TWM021</t>
  </si>
  <si>
    <t>TWM017</t>
  </si>
  <si>
    <t>Consulta límite exacto 6 meses Administrador</t>
  </si>
  <si>
    <t>Caso borde</t>
  </si>
  <si>
    <t>1. Definir fechas límite</t>
  </si>
  <si>
    <t>TWM018</t>
  </si>
  <si>
    <t>Consulta página 2 con registros &gt;10 Analista General</t>
  </si>
  <si>
    <t>Registros correctos cargados</t>
  </si>
  <si>
    <t>Paginación</t>
  </si>
  <si>
    <t>1. Navegar página</t>
  </si>
  <si>
    <t>TWM019</t>
  </si>
  <si>
    <t>Relacionar factura válida UUID correcto Servicios</t>
  </si>
  <si>
    <t>Factura ligada correctamente</t>
  </si>
  <si>
    <t>CFDI</t>
  </si>
  <si>
    <t>1. Seleccionar 2. Relacionar</t>
  </si>
  <si>
    <t>TWM020</t>
  </si>
  <si>
    <t>Relacionar pago Gerente Financiero recepción autorizada</t>
  </si>
  <si>
    <t>Pago vinculado exitoso</t>
  </si>
  <si>
    <t>Flujo pago</t>
  </si>
  <si>
    <t>1. Seleccionar 2. Relacionar pago</t>
  </si>
  <si>
    <t>Relacionar complemento pago Admin Sistema con factura pagada</t>
  </si>
  <si>
    <t>Complemento registrado</t>
  </si>
  <si>
    <t>CFDI cumplimiento</t>
  </si>
  <si>
    <t>1. Relacionar complemento</t>
  </si>
  <si>
    <t>TWM022</t>
  </si>
  <si>
    <t>Ver órdenes compra Comprador con filtros activos</t>
  </si>
  <si>
    <t>Flujo navegación</t>
  </si>
  <si>
    <t>1. Click acción OC</t>
  </si>
  <si>
    <t>TWM023</t>
  </si>
  <si>
    <t>Relacionar movimiento contable Analista General con factura</t>
  </si>
  <si>
    <t>Registro contable vinculado</t>
  </si>
  <si>
    <t>Contabilidad</t>
  </si>
  <si>
    <t>1. Relacionar movimiento</t>
  </si>
  <si>
    <t>TWM024</t>
  </si>
  <si>
    <t>Exportar CSV con resultados Analista General</t>
  </si>
  <si>
    <t>Archivo nombre correcto</t>
  </si>
  <si>
    <t>Exportación</t>
  </si>
  <si>
    <t>1. Exportar CSV</t>
  </si>
  <si>
    <t>TWM025</t>
  </si>
  <si>
    <t>Exportar XLSX con más de 3 páginas Admin Funcional</t>
  </si>
  <si>
    <t>Archivo completo generado</t>
  </si>
  <si>
    <t>Integridad datos</t>
  </si>
  <si>
    <t>1. Exportar datos grandes</t>
  </si>
  <si>
    <t>TWM026</t>
  </si>
  <si>
    <t>Exportar sin datos Proveedor Indirectos filtros vacíos resultado</t>
  </si>
  <si>
    <t>Bloqueo exportación</t>
  </si>
  <si>
    <t>Validación</t>
  </si>
  <si>
    <t>1. Buscar sin resultados 2. Exportar</t>
  </si>
  <si>
    <t>TWM027</t>
  </si>
  <si>
    <t>Consulta sin filtros Analista General</t>
  </si>
  <si>
    <t>Error obligatorio mostrado</t>
  </si>
  <si>
    <t>Regla clave</t>
  </si>
  <si>
    <t>1. Buscar vacío</t>
  </si>
  <si>
    <t>TWM028</t>
  </si>
  <si>
    <t>Rango fechas &gt;6 meses Administrador Funcional</t>
  </si>
  <si>
    <t>Validación impide consulta</t>
  </si>
  <si>
    <t>Límite negocio</t>
  </si>
  <si>
    <t>1. Configurar fechas inválidas</t>
  </si>
  <si>
    <t>TWM029</t>
  </si>
  <si>
    <t>Manipulación URL acceso otro proveedor Servicios</t>
  </si>
  <si>
    <t>Seguridad crítica</t>
  </si>
  <si>
    <t>1. Modificar URL</t>
  </si>
  <si>
    <t>TWM030</t>
  </si>
  <si>
    <t>Columnas restringidas Analista Especializado</t>
  </si>
  <si>
    <t>Columnas no visibles</t>
  </si>
  <si>
    <t>Seguridad UI</t>
  </si>
  <si>
    <t>1. Validar grid</t>
  </si>
  <si>
    <t>TWM031</t>
  </si>
  <si>
    <t>Acción relacionar factura sin permiso Transporte</t>
  </si>
  <si>
    <t>Control acceso</t>
  </si>
  <si>
    <t>1. Intentar relacionar</t>
  </si>
  <si>
    <t>TWM032</t>
  </si>
  <si>
    <t>Acceso a proveedores no asignados Gerente Comercial</t>
  </si>
  <si>
    <t>Restricción aplicada</t>
  </si>
  <si>
    <t>Seguridad negocio</t>
  </si>
  <si>
    <t>1. Intentar consulta</t>
  </si>
  <si>
    <t>TWM033</t>
  </si>
  <si>
    <t>Carga inicial &gt;1000 registros Admin Sistema</t>
  </si>
  <si>
    <t>Performance</t>
  </si>
  <si>
    <t>1. Ejecutar consulta amplia</t>
  </si>
  <si>
    <t>TWM034</t>
  </si>
  <si>
    <t>Exportación masiva performance Admin Sistema</t>
  </si>
  <si>
    <t>Exportación exitosa</t>
  </si>
  <si>
    <t>Stress</t>
  </si>
  <si>
    <t>1. Exportar masivo</t>
  </si>
  <si>
    <t>TWM035</t>
  </si>
  <si>
    <t>UUID inválido factura Analista General</t>
  </si>
  <si>
    <t>CFDI validación</t>
  </si>
  <si>
    <t>1. Relacionar UUID inválido</t>
  </si>
  <si>
    <t>TWM036</t>
  </si>
  <si>
    <t>Importe 0 factura Administrador</t>
  </si>
  <si>
    <t>Rechazo operación</t>
  </si>
  <si>
    <t>Integridad</t>
  </si>
  <si>
    <t>1. Relacionar monto 0</t>
  </si>
  <si>
    <t>TWM037</t>
  </si>
  <si>
    <t>Fecha futura factura Analista Financiero</t>
  </si>
  <si>
    <t>Error mostrado</t>
  </si>
  <si>
    <t>Regla contable</t>
  </si>
  <si>
    <t>1. Ingresar fecha futura</t>
  </si>
  <si>
    <t>TWM038</t>
  </si>
  <si>
    <t>Factura duplicada Gerente Financiero</t>
  </si>
  <si>
    <t>Sistema bloquea duplicado</t>
  </si>
  <si>
    <t>1. Intentar duplicar</t>
  </si>
  <si>
    <t>TWM039</t>
  </si>
  <si>
    <t>Combinación inválida filtros OC inexistente</t>
  </si>
  <si>
    <t>Error consistente</t>
  </si>
  <si>
    <t>1. Filtro inválido</t>
  </si>
  <si>
    <t>TWM040</t>
  </si>
  <si>
    <t>Solo recepciones propias Indirectos</t>
  </si>
  <si>
    <t>Restricción cumplida</t>
  </si>
  <si>
    <t>TWM041</t>
  </si>
  <si>
    <t>Acceso completo Admin Sistema acciones y datos</t>
  </si>
  <si>
    <t>Acceso total permitido</t>
  </si>
  <si>
    <t>Rol crítico</t>
  </si>
  <si>
    <t>1. Ejecutar acciones</t>
  </si>
  <si>
    <t>Autorización</t>
  </si>
  <si>
    <t>TWM042</t>
  </si>
  <si>
    <t>Estado parcial recepción sin pago visible</t>
  </si>
  <si>
    <t>Estado correcto reflejado</t>
  </si>
  <si>
    <t>Flujo negocio</t>
  </si>
  <si>
    <t>1. Consultar parcial</t>
  </si>
  <si>
    <t>TWM043</t>
  </si>
  <si>
    <t>Cambio estatus post relación factura</t>
  </si>
  <si>
    <t>Estatus actualizado</t>
  </si>
  <si>
    <t>Integridad flujo</t>
  </si>
  <si>
    <t>1. Relacionar 2. Verificar</t>
  </si>
  <si>
    <t>TWM044</t>
  </si>
  <si>
    <t>Consistencia datos grid vs export Admin Funcional</t>
  </si>
  <si>
    <t>Datos iguales</t>
  </si>
  <si>
    <t>Auditoría</t>
  </si>
  <si>
    <t>1. Exportar y comparar</t>
  </si>
  <si>
    <t>TWM045</t>
  </si>
  <si>
    <t>Concurrente relación misma recepción dos usuarios</t>
  </si>
  <si>
    <t>Control bloqueo correcto</t>
  </si>
  <si>
    <t>Concurrencia</t>
  </si>
  <si>
    <t>1. Ejecutar paralelo</t>
  </si>
  <si>
    <t>TWM046</t>
  </si>
  <si>
    <t>Error API catálogo estatus fallback UI</t>
  </si>
  <si>
    <t>UI maneja error</t>
  </si>
  <si>
    <t>Resiliencia</t>
  </si>
  <si>
    <t>1. Simular caída API</t>
  </si>
  <si>
    <t>TWM047</t>
  </si>
  <si>
    <t>Sesión expirada durante pago Gerente Comercial</t>
  </si>
  <si>
    <t>Seguridad sesión</t>
  </si>
  <si>
    <t>1. Expirar sesión 2. Acción</t>
  </si>
  <si>
    <t>TWM048</t>
  </si>
  <si>
    <t>Integridad total Three-way-match completo</t>
  </si>
  <si>
    <t>Montos coinciden</t>
  </si>
  <si>
    <t>Core financiero</t>
  </si>
  <si>
    <t>1. Validar conciliación</t>
  </si>
  <si>
    <t>TWM049</t>
  </si>
  <si>
    <t>Cambio tipo proveedor no permitido Analista Especializado</t>
  </si>
  <si>
    <t>Seguridad lógica</t>
  </si>
  <si>
    <t>1. Intentar cambiar tipo</t>
  </si>
  <si>
    <t>EDO001</t>
  </si>
  <si>
    <t>Botón primario único azul (PDF) visible Analista General con datos</t>
  </si>
  <si>
    <t>Estado de cuenta</t>
  </si>
  <si>
    <t>Solo botón PDF en azul visible</t>
  </si>
  <si>
    <t>1. Consultar 2. Validar botón</t>
  </si>
  <si>
    <t>EDO010</t>
  </si>
  <si>
    <t>EDO002</t>
  </si>
  <si>
    <t>Seleccionar opción de Estado Cuenta</t>
  </si>
  <si>
    <t>EDO003</t>
  </si>
  <si>
    <t>Botones Buscar/Limpiar blanco Gerente Comercial filtros activos</t>
  </si>
  <si>
    <t>Botones secundarios blancos</t>
  </si>
  <si>
    <t>UX consistente</t>
  </si>
  <si>
    <t>1. Filtrar 2. Validar</t>
  </si>
  <si>
    <t>EDO004</t>
  </si>
  <si>
    <t>Listbox proveedores Analista Especializado restringido</t>
  </si>
  <si>
    <t>Solo proveedores asignados</t>
  </si>
  <si>
    <t>Seguridad UX</t>
  </si>
  <si>
    <t>1. Abrir filtro</t>
  </si>
  <si>
    <t>EDO005</t>
  </si>
  <si>
    <t>Default proveedor Proveedor Mercancía al ingresar</t>
  </si>
  <si>
    <t>Proveedor precargado</t>
  </si>
  <si>
    <t>UX crítico</t>
  </si>
  <si>
    <t>1. Entrar pantalla</t>
  </si>
  <si>
    <t>EDO006</t>
  </si>
  <si>
    <t>Paginación centrada 10 registros Comprador</t>
  </si>
  <si>
    <t>Paginación centrada fija</t>
  </si>
  <si>
    <t>Diseño correcto</t>
  </si>
  <si>
    <t>EDO007</t>
  </si>
  <si>
    <t>Máscaras fecha/moneda Transporte recepciones pagadas</t>
  </si>
  <si>
    <t>Formatos correctos</t>
  </si>
  <si>
    <t>Visual integral</t>
  </si>
  <si>
    <t>1. Consultar</t>
  </si>
  <si>
    <t>EDO008</t>
  </si>
  <si>
    <t>Colores estatus API Gerente Transporte datos mixtos</t>
  </si>
  <si>
    <t>API dependiente</t>
  </si>
  <si>
    <t>EDO011</t>
  </si>
  <si>
    <t>EDO009</t>
  </si>
  <si>
    <t>Modal error obligatorio sin filtros Analista</t>
  </si>
  <si>
    <t>PDF incluye todas recepciones del mes Gerente Financiero</t>
  </si>
  <si>
    <t>PDF completo sin omisiones</t>
  </si>
  <si>
    <t>1. Generar PDF</t>
  </si>
  <si>
    <t>EDO013</t>
  </si>
  <si>
    <t>Consulta válida mes/año Analista General multi proveedor</t>
  </si>
  <si>
    <t>1. Seleccionar 2. Buscar</t>
  </si>
  <si>
    <t>EDO012</t>
  </si>
  <si>
    <t>Consulta recepciones sin factura Proveedor Servicios</t>
  </si>
  <si>
    <t>Pendientes visibles</t>
  </si>
  <si>
    <t>Flujo pendiente</t>
  </si>
  <si>
    <t>1. Filtrar mes</t>
  </si>
  <si>
    <t>Consulta recepciones con factura Proveedor Transporte</t>
  </si>
  <si>
    <t>Facturas visibles</t>
  </si>
  <si>
    <t>Integración CFDI</t>
  </si>
  <si>
    <t>EDO014</t>
  </si>
  <si>
    <t>Consulta recepciones pagadas Gerente Financiero</t>
  </si>
  <si>
    <t>Pagos reflejados</t>
  </si>
  <si>
    <t>Conciliación</t>
  </si>
  <si>
    <t>1. Filtrar estado</t>
  </si>
  <si>
    <t>EDO015</t>
  </si>
  <si>
    <t>Consulta descuentos comerciales Analista General</t>
  </si>
  <si>
    <t>Descuentos visibles</t>
  </si>
  <si>
    <t>Flujo financiero</t>
  </si>
  <si>
    <t>EDO016</t>
  </si>
  <si>
    <t>Consulta notas crédito Administrador Funcional</t>
  </si>
  <si>
    <t>Notas aplicadas visibles</t>
  </si>
  <si>
    <t>Ajustes</t>
  </si>
  <si>
    <t>EDO017</t>
  </si>
  <si>
    <t>Persistencia filtros retorno desde PDF Analista</t>
  </si>
  <si>
    <t>UX clave</t>
  </si>
  <si>
    <t>1. Generar PDF 2. Regresar</t>
  </si>
  <si>
    <t>EDO018</t>
  </si>
  <si>
    <t>Consulta mes vencido válida Administrador Sistema</t>
  </si>
  <si>
    <t>Regla negocio</t>
  </si>
  <si>
    <t>1. Seleccionar mes anterior</t>
  </si>
  <si>
    <t>EDO019</t>
  </si>
  <si>
    <t>Autorizar estado cuenta Gerente Financiero datos completos</t>
  </si>
  <si>
    <t>Estado autorizado</t>
  </si>
  <si>
    <t>Flujo crítico</t>
  </si>
  <si>
    <t>1. Autorizar</t>
  </si>
  <si>
    <t>EDO020</t>
  </si>
  <si>
    <t>Rechazar estado cuenta Comprador con notificación</t>
  </si>
  <si>
    <t>Notificación enviada</t>
  </si>
  <si>
    <t>Flujo rechazo</t>
  </si>
  <si>
    <t>1. Rechazar</t>
  </si>
  <si>
    <t>EDO021</t>
  </si>
  <si>
    <t>Visualizar PDF Proveedor Indirectos con datos</t>
  </si>
  <si>
    <t>PDF visible</t>
  </si>
  <si>
    <t>Visualización</t>
  </si>
  <si>
    <t>EDO022</t>
  </si>
  <si>
    <t>Relacionar factura Proveedor Servicios recepción sin factura</t>
  </si>
  <si>
    <t>Flujo contable</t>
  </si>
  <si>
    <t>1. Relacionar</t>
  </si>
  <si>
    <t>EDO023</t>
  </si>
  <si>
    <t>Habilitar pago Gerente Financiero recepción autorizada</t>
  </si>
  <si>
    <t>Pago habilitado</t>
  </si>
  <si>
    <t>Flujo pagos</t>
  </si>
  <si>
    <t>1. Ejecutar acción</t>
  </si>
  <si>
    <t>EDO024</t>
  </si>
  <si>
    <t>Generar PDF nombre correcto Admin Funcional</t>
  </si>
  <si>
    <t>Export correcto</t>
  </si>
  <si>
    <t>1. Exportar</t>
  </si>
  <si>
    <t>EDO025</t>
  </si>
  <si>
    <t>PDF con múltiples páginas Admin Sistema alto volumen</t>
  </si>
  <si>
    <t>Todos registros incluidos</t>
  </si>
  <si>
    <t>EDO026</t>
  </si>
  <si>
    <t>Exportar sin datos Proveedor Transporte sin movimientos</t>
  </si>
  <si>
    <t>1. Buscar vacío 2. Exportar</t>
  </si>
  <si>
    <t>EDO027</t>
  </si>
  <si>
    <t>Error obligatorio</t>
  </si>
  <si>
    <t>Regla</t>
  </si>
  <si>
    <t>EDO028</t>
  </si>
  <si>
    <t>Mes futuro inválido Administrador Funcional</t>
  </si>
  <si>
    <t>Borde</t>
  </si>
  <si>
    <t>1. Seleccionar mes futuro</t>
  </si>
  <si>
    <t>EDO029</t>
  </si>
  <si>
    <t>Manipulación URL acceso proveedor ajeno Servicios</t>
  </si>
  <si>
    <t>1. Alterar parámetros</t>
  </si>
  <si>
    <t>EDO030</t>
  </si>
  <si>
    <t>Columnas ocultas correctamente</t>
  </si>
  <si>
    <t>EDO031</t>
  </si>
  <si>
    <t>Autorizar sin permiso Proveedor Mercancía</t>
  </si>
  <si>
    <t>Control rol</t>
  </si>
  <si>
    <t>1. Intentar autorizar</t>
  </si>
  <si>
    <t>EDO032</t>
  </si>
  <si>
    <t>Acceso datos no asignados Gerente Comercial</t>
  </si>
  <si>
    <t>1. Consultar proveedor ajeno</t>
  </si>
  <si>
    <t>EDO033</t>
  </si>
  <si>
    <t>Performance carga &gt;1000 registros Admin Sistema</t>
  </si>
  <si>
    <t>1. Consulta masiva</t>
  </si>
  <si>
    <t>EDO034</t>
  </si>
  <si>
    <t>Performance PDF masivo Admin Sistema</t>
  </si>
  <si>
    <t>PDF sin fallas</t>
  </si>
  <si>
    <t>1. Generar PDF grande</t>
  </si>
  <si>
    <t>EDO035</t>
  </si>
  <si>
    <t>1. Relacionar inválido</t>
  </si>
  <si>
    <t>EDO036</t>
  </si>
  <si>
    <t>Importe inconsistente vs pagos Gerente Financiero</t>
  </si>
  <si>
    <t>Error conciliación</t>
  </si>
  <si>
    <t>1. Validar totales</t>
  </si>
  <si>
    <t>EDO037</t>
  </si>
  <si>
    <t>Nota crédito excedente Administrador Funcional</t>
  </si>
  <si>
    <t>Rechazo sistema</t>
  </si>
  <si>
    <t>1. Aplicar nota &gt; monto</t>
  </si>
  <si>
    <t>EDO038</t>
  </si>
  <si>
    <t>Bloqueo duplicidad</t>
  </si>
  <si>
    <t>1. Duplicar factura</t>
  </si>
  <si>
    <t>EDO039</t>
  </si>
  <si>
    <t>Mes sin movimientos válido Proveedor Indirectos</t>
  </si>
  <si>
    <t>Mensaje sin datos</t>
  </si>
  <si>
    <t>Caso válido</t>
  </si>
  <si>
    <t>1. Consultar mes vacío</t>
  </si>
  <si>
    <t>EDO040</t>
  </si>
  <si>
    <t>Solo datos propios Proveedor Transporte</t>
  </si>
  <si>
    <t>Datos restringidos</t>
  </si>
  <si>
    <t>EDO041</t>
  </si>
  <si>
    <t>Acceso total Admin Sistema</t>
  </si>
  <si>
    <t>Acceso completo</t>
  </si>
  <si>
    <t>EDO042</t>
  </si>
  <si>
    <t>Estado parcial sin pago Analista</t>
  </si>
  <si>
    <t>Estado reflejado</t>
  </si>
  <si>
    <t>Flujo</t>
  </si>
  <si>
    <t>EDO043</t>
  </si>
  <si>
    <t>Cambio estatus tras autorización Gerente Financiero</t>
  </si>
  <si>
    <t>1. Autorizar 2. Validar</t>
  </si>
  <si>
    <t>EDO044</t>
  </si>
  <si>
    <t>Consistencia datos grid vs PDF Admin Funcional</t>
  </si>
  <si>
    <t>Datos coinciden</t>
  </si>
  <si>
    <t>1. Comparar</t>
  </si>
  <si>
    <t>EDO045</t>
  </si>
  <si>
    <t>Concurrencia autorización simultánea</t>
  </si>
  <si>
    <t>Lock correcto</t>
  </si>
  <si>
    <t>EDO046</t>
  </si>
  <si>
    <t>Error API estatus fallback UI</t>
  </si>
  <si>
    <t>UI responde correctamente</t>
  </si>
  <si>
    <t>1. Simular error</t>
  </si>
  <si>
    <t>EDO047</t>
  </si>
  <si>
    <t>Sesión expirada al generar PDF Gerente Comercial</t>
  </si>
  <si>
    <t>1. Expirar sesión</t>
  </si>
  <si>
    <t>EDO048</t>
  </si>
  <si>
    <t>Integridad contable mensual completa Gerente Financiero</t>
  </si>
  <si>
    <t>Totales correctos</t>
  </si>
  <si>
    <t>EDO049</t>
  </si>
  <si>
    <t>Cambio proveedor no permitido Analista Especializado</t>
  </si>
  <si>
    <t>1. Intentar cambiar proveedor</t>
  </si>
  <si>
    <t>FAC001</t>
  </si>
  <si>
    <t>Botón primario único azul visible (Exportación PDF/XML) Analista General con resultados</t>
  </si>
  <si>
    <t>1. Ejecutar consulta 2. Validar botón</t>
  </si>
  <si>
    <t>FAC010</t>
  </si>
  <si>
    <t>FAC002</t>
  </si>
  <si>
    <t>Botones Buscar/Limpiar blancos Gerente Comercial filtros activos</t>
  </si>
  <si>
    <t>Factura</t>
  </si>
  <si>
    <t>Botones secundarios blancos visibles</t>
  </si>
  <si>
    <t>1. Aplicar filtros 2. Validar UI</t>
  </si>
  <si>
    <t>FAC003</t>
  </si>
  <si>
    <t>Listbox proveedores Analista Especializado acceso limitado</t>
  </si>
  <si>
    <t>1. Abrir listbox</t>
  </si>
  <si>
    <t>FAC004</t>
  </si>
  <si>
    <t>Default proveedor Proveedor Mercancía login</t>
  </si>
  <si>
    <t>Proveedor precargado automáticamente</t>
  </si>
  <si>
    <t>UX proveedor</t>
  </si>
  <si>
    <t>1. Ingresar módulo</t>
  </si>
  <si>
    <t>FAC005</t>
  </si>
  <si>
    <t>Paginación centrada 10 registros Comprador múltiples facturas</t>
  </si>
  <si>
    <t>Paginación correcta centrada</t>
  </si>
  <si>
    <t>UI estándar</t>
  </si>
  <si>
    <t>FAC006</t>
  </si>
  <si>
    <t>Máscaras fecha/moneda Proveedor Transporte facturas contabilizadas</t>
  </si>
  <si>
    <t>Formato correcto aplicado</t>
  </si>
  <si>
    <t>Visual validado</t>
  </si>
  <si>
    <t>1. Revisar datos</t>
  </si>
  <si>
    <t>FAC007</t>
  </si>
  <si>
    <t>Colores estatus API Gerente Transporte facturas en diferentes estados</t>
  </si>
  <si>
    <t>Colores correctos según catálogo</t>
  </si>
  <si>
    <t>Integración API</t>
  </si>
  <si>
    <t>FAC011</t>
  </si>
  <si>
    <t>FAC008</t>
  </si>
  <si>
    <t>Modal error filtros sin seleccionar Analista General</t>
  </si>
  <si>
    <t>Modal obligatorio visible</t>
  </si>
  <si>
    <t>Error controlado</t>
  </si>
  <si>
    <t>FAC009</t>
  </si>
  <si>
    <t>PDF muestra factura completa por registro Gerente Financiero</t>
  </si>
  <si>
    <t>PDF contiene factura correcta</t>
  </si>
  <si>
    <t>Integridad CFDI</t>
  </si>
  <si>
    <t>1. Ver PDF</t>
  </si>
  <si>
    <t>FAC013</t>
  </si>
  <si>
    <t>Consulta válida con UUID Analista General múltiples proveedores</t>
  </si>
  <si>
    <t>Factura correcta cargada</t>
  </si>
  <si>
    <t>Validación clave</t>
  </si>
  <si>
    <t>1. Buscar por UUID</t>
  </si>
  <si>
    <t>Consulta facturas con recepción asociada Proveedor Servicios</t>
  </si>
  <si>
    <t>Relación visible correcta</t>
  </si>
  <si>
    <t>Flujo base</t>
  </si>
  <si>
    <t>1. Buscar por fecha</t>
  </si>
  <si>
    <t>FAC012</t>
  </si>
  <si>
    <t>Consulta facturas con nota crédito Proveedor Indirectos</t>
  </si>
  <si>
    <t>NC visibles correctamente</t>
  </si>
  <si>
    <t>Ajustes contables</t>
  </si>
  <si>
    <t>1. Consultar estado</t>
  </si>
  <si>
    <t>Consulta facturas pagadas Gerente Financiero</t>
  </si>
  <si>
    <t>Estado pagado visible</t>
  </si>
  <si>
    <t>FAC014</t>
  </si>
  <si>
    <t>Consulta por serie/folio Comprador facturas específicas</t>
  </si>
  <si>
    <t>Facturas correctas retornadas</t>
  </si>
  <si>
    <t>Búsqueda específica</t>
  </si>
  <si>
    <t>1. Ingresar serie/folio</t>
  </si>
  <si>
    <t>FAC015</t>
  </si>
  <si>
    <t>Persistencia filtros navegación Analista</t>
  </si>
  <si>
    <t>Filtros persisten</t>
  </si>
  <si>
    <t>1. Buscar 2. Salir 3. Volver</t>
  </si>
  <si>
    <t>FAC016</t>
  </si>
  <si>
    <t>Consulta combinación filtros válida UUID+Proveedor Admin</t>
  </si>
  <si>
    <t>Combinatoria</t>
  </si>
  <si>
    <t>1. Aplicar filtros</t>
  </si>
  <si>
    <t>FAC017</t>
  </si>
  <si>
    <t>Consulta múltiple página &gt;10 registros Analista General</t>
  </si>
  <si>
    <t>Paginación operativa</t>
  </si>
  <si>
    <t>Performance UI</t>
  </si>
  <si>
    <t>1. Navegar páginas</t>
  </si>
  <si>
    <t>FAC018</t>
  </si>
  <si>
    <t>Visualizar XML válido factura Proveedor Servicios</t>
  </si>
  <si>
    <t>XML correctamente desplegado</t>
  </si>
  <si>
    <t>1. Ver XML</t>
  </si>
  <si>
    <t>FAC019</t>
  </si>
  <si>
    <t>Visualizar PDF factura Proveedor Transporte</t>
  </si>
  <si>
    <t>PDF correcto mostrado</t>
  </si>
  <si>
    <t>FAC020</t>
  </si>
  <si>
    <t>Reprocesar factura Administrador Funcional con error previo</t>
  </si>
  <si>
    <t>Factura reprocesada</t>
  </si>
  <si>
    <t>Reproceso crítico</t>
  </si>
  <si>
    <t>1. Ejecutar reproceso</t>
  </si>
  <si>
    <t>FAC021</t>
  </si>
  <si>
    <t>Visualizar notas crédito relacionadas Gerente Financiero</t>
  </si>
  <si>
    <t>NC desplegadas correctamente</t>
  </si>
  <si>
    <t>1. Ver NC</t>
  </si>
  <si>
    <t>FAC022</t>
  </si>
  <si>
    <t>Relacionar factura nueva Proveedor Mercancía recepción consumida</t>
  </si>
  <si>
    <t>Flujo principal</t>
  </si>
  <si>
    <t>1. Relacionar factura</t>
  </si>
  <si>
    <t>FAC023</t>
  </si>
  <si>
    <t>Exportar XML factura Analista General</t>
  </si>
  <si>
    <t>Archivo generado correctamente</t>
  </si>
  <si>
    <t>1. Exportar XML</t>
  </si>
  <si>
    <t>FAC024</t>
  </si>
  <si>
    <t>Exportar PDF factura Admin Sistema</t>
  </si>
  <si>
    <t>Nombre correcto generado</t>
  </si>
  <si>
    <t>Naming correcto</t>
  </si>
  <si>
    <t>1. Exportar PDF</t>
  </si>
  <si>
    <t>FAC025</t>
  </si>
  <si>
    <t>Exportar sin datos Proveedor Indirectos</t>
  </si>
  <si>
    <t>1. Buscar sin resultados</t>
  </si>
  <si>
    <t>FAC026</t>
  </si>
  <si>
    <t>Regla crítica</t>
  </si>
  <si>
    <t>FAC027</t>
  </si>
  <si>
    <t>UUID inválido Analista General</t>
  </si>
  <si>
    <t>1. Ingresar UUID inválido</t>
  </si>
  <si>
    <t>FAC028</t>
  </si>
  <si>
    <t>Fecha futura filtro Administrador</t>
  </si>
  <si>
    <t>Borde fecha</t>
  </si>
  <si>
    <t>1. Seleccionar fecha futura</t>
  </si>
  <si>
    <t>FAC029</t>
  </si>
  <si>
    <t>Manipulación URL acceso proveedor ajeno</t>
  </si>
  <si>
    <t>1. Alterar URL</t>
  </si>
  <si>
    <t>FAC030</t>
  </si>
  <si>
    <t>Columnas ocultas</t>
  </si>
  <si>
    <t>FAC031</t>
  </si>
  <si>
    <t>Reprocesar factura sin permiso Proveedor Transporte</t>
  </si>
  <si>
    <t>Seguridad acción</t>
  </si>
  <si>
    <t>1. Intentar reproceso</t>
  </si>
  <si>
    <t>FAC032</t>
  </si>
  <si>
    <t>Acceso proveedor no asignado Gerente Comercial</t>
  </si>
  <si>
    <t>Acceso restringido</t>
  </si>
  <si>
    <t>1. Buscar proveedor ajeno</t>
  </si>
  <si>
    <t>FAC033</t>
  </si>
  <si>
    <t>1. Consulta amplia</t>
  </si>
  <si>
    <t>FAC034</t>
  </si>
  <si>
    <t>Performance exportación XML masiva</t>
  </si>
  <si>
    <t>Exportación sin error</t>
  </si>
  <si>
    <t>FAC035</t>
  </si>
  <si>
    <t>Bloqueo duplicado</t>
  </si>
  <si>
    <t>1. Relacionar duplicada</t>
  </si>
  <si>
    <t>FAC036</t>
  </si>
  <si>
    <t>Importe inconsistente Subtotal/Total</t>
  </si>
  <si>
    <t>Error contable</t>
  </si>
  <si>
    <t>1. Validar montos</t>
  </si>
  <si>
    <t>FAC037</t>
  </si>
  <si>
    <t>Nota crédito excedente factura</t>
  </si>
  <si>
    <t>1. Aplicar NC</t>
  </si>
  <si>
    <t>FAC038</t>
  </si>
  <si>
    <t>Consulta factura sin recepción</t>
  </si>
  <si>
    <t>Registro bloqueado/no visible</t>
  </si>
  <si>
    <t>1. Buscar sin relación</t>
  </si>
  <si>
    <t>FAC039</t>
  </si>
  <si>
    <t>Ver solo datos propios Proveedor Servicios</t>
  </si>
  <si>
    <t>FAC040</t>
  </si>
  <si>
    <t>Acceso total Administrador Sistema</t>
  </si>
  <si>
    <t>FAC041</t>
  </si>
  <si>
    <t>Estado factura pendiente pago Analista</t>
  </si>
  <si>
    <t>Estado correcto</t>
  </si>
  <si>
    <t>FAC042</t>
  </si>
  <si>
    <t>Cambio estado tras reproceso Admin Funcional</t>
  </si>
  <si>
    <t>Estado actualizado</t>
  </si>
  <si>
    <t>1. Reprocesar</t>
  </si>
  <si>
    <t>FAC043</t>
  </si>
  <si>
    <t>Consistencia grid vs XML Admin Funcional</t>
  </si>
  <si>
    <t>1. Comparar datos</t>
  </si>
  <si>
    <t>FAC044</t>
  </si>
  <si>
    <t>Concurrencia reproceso factura</t>
  </si>
  <si>
    <t>Control de bloqueo</t>
  </si>
  <si>
    <t>1. Reprocesar paralelo</t>
  </si>
  <si>
    <t>FAC045</t>
  </si>
  <si>
    <t>UI funcional</t>
  </si>
  <si>
    <t>1. Simular fallo</t>
  </si>
  <si>
    <t>FAC046</t>
  </si>
  <si>
    <t>Sesión expirada al visualizar XML</t>
  </si>
  <si>
    <t>FAC047</t>
  </si>
  <si>
    <t>Integridad contable total factura-recepción-pago</t>
  </si>
  <si>
    <t>Totales coinciden</t>
  </si>
  <si>
    <t>FAC048</t>
  </si>
  <si>
    <t>NC001</t>
  </si>
  <si>
    <t>Botón primario único azul (Exportación PDF/XML) Analista General con resultados</t>
  </si>
  <si>
    <t>Fiscal</t>
  </si>
  <si>
    <t>Nota de Crédito</t>
  </si>
  <si>
    <t>Solo botón primario visible</t>
  </si>
  <si>
    <t>NC010</t>
  </si>
  <si>
    <t>NC002</t>
  </si>
  <si>
    <t>Botones Buscar/Limpiar blancos Gerente Comercial con filtros activos</t>
  </si>
  <si>
    <t>Botones secundarios en blanco</t>
  </si>
  <si>
    <t>NC003</t>
  </si>
  <si>
    <t>NC004</t>
  </si>
  <si>
    <t>Default proveedor Proveedor Transporte login</t>
  </si>
  <si>
    <t>NC005</t>
  </si>
  <si>
    <t>Paginación centrada 10 registros Comprador múltiples NC</t>
  </si>
  <si>
    <t>NC006</t>
  </si>
  <si>
    <t>Máscaras fecha/moneda Proveedor Servicios NC aplicadas</t>
  </si>
  <si>
    <t>Validación visual</t>
  </si>
  <si>
    <t>1. Revisar grid</t>
  </si>
  <si>
    <t>NC007</t>
  </si>
  <si>
    <t>Colores estatus API Gerente Transporte estados diversos</t>
  </si>
  <si>
    <t>NC011</t>
  </si>
  <si>
    <t>NC008</t>
  </si>
  <si>
    <t>Modal obligatorio error sin filtros Analista General</t>
  </si>
  <si>
    <t>Manejo error</t>
  </si>
  <si>
    <t>NC009</t>
  </si>
  <si>
    <t>PDF muestra NC por registro Gerente Financiero</t>
  </si>
  <si>
    <t>PDF correcto con datos NC</t>
  </si>
  <si>
    <t>NC013</t>
  </si>
  <si>
    <t>Consulta válida por UUID Analista General</t>
  </si>
  <si>
    <t>NC correcta desplegada</t>
  </si>
  <si>
    <t>1. Ingresar UUID 2. Buscar</t>
  </si>
  <si>
    <t>Consulta NC con factura asociada Proveedor Mercancía</t>
  </si>
  <si>
    <t>Relación correcta visible</t>
  </si>
  <si>
    <t>NC012</t>
  </si>
  <si>
    <t>Consulta NC sin complemento pago Proveedor Servicios</t>
  </si>
  <si>
    <t>Datos visibles correctamente</t>
  </si>
  <si>
    <t>Flujo parcial</t>
  </si>
  <si>
    <t>1. Aplicar filtro</t>
  </si>
  <si>
    <t>Consulta NC aplicadas Gerente Financiero</t>
  </si>
  <si>
    <t>Estado aplicado visible</t>
  </si>
  <si>
    <t>NC014</t>
  </si>
  <si>
    <t>Consulta por serie/folio Comprador</t>
  </si>
  <si>
    <t>Precisión búsqueda</t>
  </si>
  <si>
    <t>NC015</t>
  </si>
  <si>
    <t>1. Buscar 2. Volver</t>
  </si>
  <si>
    <t>NC016</t>
  </si>
  <si>
    <t>Consulta combinada UUID+Proveedor Admin Funcional</t>
  </si>
  <si>
    <t>NC017</t>
  </si>
  <si>
    <t>Consulta paginación &gt;10 registros Analista</t>
  </si>
  <si>
    <t>1. Cambiar página</t>
  </si>
  <si>
    <t>NC018</t>
  </si>
  <si>
    <t>Visualizar XML NC Proveedor Servicios</t>
  </si>
  <si>
    <t>XML correcto</t>
  </si>
  <si>
    <t>NC019</t>
  </si>
  <si>
    <t>Visualizar PDF NC Proveedor Indirectos</t>
  </si>
  <si>
    <t>NC020</t>
  </si>
  <si>
    <t>Reprocesar NC Admin Funcional error previo</t>
  </si>
  <si>
    <t>Reproceso exitoso</t>
  </si>
  <si>
    <t>NC021</t>
  </si>
  <si>
    <t>Visualizar NC relacionadas factura Gerente</t>
  </si>
  <si>
    <t>Relación visible</t>
  </si>
  <si>
    <t>1. Ver relación</t>
  </si>
  <si>
    <t>NC022</t>
  </si>
  <si>
    <t>Relacionar NC con factura Proveedor Mercancía</t>
  </si>
  <si>
    <t>1. Relacionar NC</t>
  </si>
  <si>
    <t>NC023</t>
  </si>
  <si>
    <t>Exportar XML NC Analista General</t>
  </si>
  <si>
    <t>Archivo generado</t>
  </si>
  <si>
    <t>NC024</t>
  </si>
  <si>
    <t>Exportar PDF NC Admin Sistema</t>
  </si>
  <si>
    <t>Nombre correcto</t>
  </si>
  <si>
    <t>Naming</t>
  </si>
  <si>
    <t>NC025</t>
  </si>
  <si>
    <t>Exportar sin datos Proveedor Transporte</t>
  </si>
  <si>
    <t>NC026</t>
  </si>
  <si>
    <t>1. Buscar sin datos</t>
  </si>
  <si>
    <t>NC027</t>
  </si>
  <si>
    <t>NC028</t>
  </si>
  <si>
    <t>Fecha futura filtro Admin</t>
  </si>
  <si>
    <t>Edge case</t>
  </si>
  <si>
    <t>NC029</t>
  </si>
  <si>
    <t>Manipulación URL proveedor ajeno</t>
  </si>
  <si>
    <t>NC030</t>
  </si>
  <si>
    <t>NC031</t>
  </si>
  <si>
    <t>Reprocesar NC sin permiso Proveedor Servicios</t>
  </si>
  <si>
    <t>NC032</t>
  </si>
  <si>
    <t>Control datos</t>
  </si>
  <si>
    <t>1. Consultar proveedor</t>
  </si>
  <si>
    <t>NC033</t>
  </si>
  <si>
    <t>Performance carga masiva Admin Sistema</t>
  </si>
  <si>
    <t>1. Consulta grande</t>
  </si>
  <si>
    <t>NC034</t>
  </si>
  <si>
    <t>Performance exportación masiva XML</t>
  </si>
  <si>
    <t>NC035</t>
  </si>
  <si>
    <t>Duplicidad NC Gerente Financiero</t>
  </si>
  <si>
    <t>NC036</t>
  </si>
  <si>
    <t>Importe NC mayor factura</t>
  </si>
  <si>
    <t>1. Validar monto</t>
  </si>
  <si>
    <t>NC037</t>
  </si>
  <si>
    <t>NC sin factura asociada</t>
  </si>
  <si>
    <t>Bloqueo visualización</t>
  </si>
  <si>
    <t>NC038</t>
  </si>
  <si>
    <t>Consulta sin resultados válida</t>
  </si>
  <si>
    <t>Escenario válido</t>
  </si>
  <si>
    <t>1. Consultar rango</t>
  </si>
  <si>
    <t>NC039</t>
  </si>
  <si>
    <t>Datos solo propios proveedor Indirectos</t>
  </si>
  <si>
    <t>NC040</t>
  </si>
  <si>
    <t>NC041</t>
  </si>
  <si>
    <t>Estado NC pendiente Analista</t>
  </si>
  <si>
    <t>Estado mostrado</t>
  </si>
  <si>
    <t>NC042</t>
  </si>
  <si>
    <t>Cambio estado tras reproceso Admin</t>
  </si>
  <si>
    <t>NC043</t>
  </si>
  <si>
    <t>Consistencia grid vs XML</t>
  </si>
  <si>
    <t>NC044</t>
  </si>
  <si>
    <t>Concurrencia reproceso simultáneo</t>
  </si>
  <si>
    <t>1. Simular paralelo</t>
  </si>
  <si>
    <t>NC045</t>
  </si>
  <si>
    <t>UI responde</t>
  </si>
  <si>
    <t>NC046</t>
  </si>
  <si>
    <t>Sesión expirada ver XML</t>
  </si>
  <si>
    <t>Login forzado</t>
  </si>
  <si>
    <t>NC047</t>
  </si>
  <si>
    <t>Integridad contable NC-Factura-Pago Gerente</t>
  </si>
  <si>
    <t>Montos correctos</t>
  </si>
  <si>
    <t>NC048</t>
  </si>
  <si>
    <t>CP001</t>
  </si>
  <si>
    <t>Botón primario único azul visible (Exportación) Analista General con resultados</t>
  </si>
  <si>
    <t>Complemento de Pago</t>
  </si>
  <si>
    <t>1. Buscar 2. Validar botón</t>
  </si>
  <si>
    <t>CP010</t>
  </si>
  <si>
    <t>CP002</t>
  </si>
  <si>
    <t>Botones blancos visibles</t>
  </si>
  <si>
    <t>1. Aplicar filtros 2. Validar</t>
  </si>
  <si>
    <t>CP003</t>
  </si>
  <si>
    <t>CP004</t>
  </si>
  <si>
    <t>Default proveedor Proveedor Servicios login</t>
  </si>
  <si>
    <t>CP005</t>
  </si>
  <si>
    <t>CP006</t>
  </si>
  <si>
    <t>Máscaras fecha/moneda Proveedor Transporte pagos registrados</t>
  </si>
  <si>
    <t>CP007</t>
  </si>
  <si>
    <t>Colores estatus API Gerente Transporte</t>
  </si>
  <si>
    <t>API validada</t>
  </si>
  <si>
    <t>CP011</t>
  </si>
  <si>
    <t>CP008</t>
  </si>
  <si>
    <t>Modal visible</t>
  </si>
  <si>
    <t>Control errores</t>
  </si>
  <si>
    <t>CP009</t>
  </si>
  <si>
    <t>PDF muestra complemento por registro Gerente Financiero</t>
  </si>
  <si>
    <t>PDF correcto completo</t>
  </si>
  <si>
    <t>CP013</t>
  </si>
  <si>
    <t>Consulta válida UUID Analista General múltiples proveedores</t>
  </si>
  <si>
    <t>Consulta complementos con factura asociada Proveedor Mercancía</t>
  </si>
  <si>
    <t>1. Filtrar fecha</t>
  </si>
  <si>
    <t>CP012</t>
  </si>
  <si>
    <t>Consulta complementos con nota crédito Proveedor Indirectos</t>
  </si>
  <si>
    <t>Consulta complementos pagos registrados Gerente Financiero</t>
  </si>
  <si>
    <t>Estado correcto visible</t>
  </si>
  <si>
    <t>1. Filtrar</t>
  </si>
  <si>
    <t>CP014</t>
  </si>
  <si>
    <t>Resultados precisos</t>
  </si>
  <si>
    <t>Búsqueda</t>
  </si>
  <si>
    <t>1. Ingresar datos</t>
  </si>
  <si>
    <t>CP015</t>
  </si>
  <si>
    <t>CP016</t>
  </si>
  <si>
    <t>CP017</t>
  </si>
  <si>
    <t>CP018</t>
  </si>
  <si>
    <t>Visualizar XML complemento Proveedor Servicios</t>
  </si>
  <si>
    <t>XML visible correcto</t>
  </si>
  <si>
    <t>CP019</t>
  </si>
  <si>
    <t>Visualizar PDF complemento Proveedor Transporte</t>
  </si>
  <si>
    <t>PDF correcto</t>
  </si>
  <si>
    <t>CP020</t>
  </si>
  <si>
    <t>Relación factura-complemento consistente Analista</t>
  </si>
  <si>
    <t>Relación válida</t>
  </si>
  <si>
    <t>1. Validar datos</t>
  </si>
  <si>
    <t>CP021</t>
  </si>
  <si>
    <t>Validar relación notas crédito en complemento</t>
  </si>
  <si>
    <t>1. Validar relación</t>
  </si>
  <si>
    <t>CP022</t>
  </si>
  <si>
    <t>Exportar XML complemento Analista General</t>
  </si>
  <si>
    <t>CP023</t>
  </si>
  <si>
    <t>Exportar PDF complemento Admin Sistema</t>
  </si>
  <si>
    <t>CP024</t>
  </si>
  <si>
    <t>Exportar sin datos Proveedor Servicios</t>
  </si>
  <si>
    <t>CP025</t>
  </si>
  <si>
    <t>CP026</t>
  </si>
  <si>
    <t>UUID inválido Analista</t>
  </si>
  <si>
    <t>1. Ingresar inválido</t>
  </si>
  <si>
    <t>CP027</t>
  </si>
  <si>
    <t>Fecha futura inválida Admin</t>
  </si>
  <si>
    <t>CP028</t>
  </si>
  <si>
    <t>CP029</t>
  </si>
  <si>
    <t>CP030</t>
  </si>
  <si>
    <t>Acción visualización XML sin permiso</t>
  </si>
  <si>
    <t>1. Intentar ver XML</t>
  </si>
  <si>
    <t>CP031</t>
  </si>
  <si>
    <t>Acceso proveedores no asignados Gerente Comercial</t>
  </si>
  <si>
    <t>1. Consultar ajeno</t>
  </si>
  <si>
    <t>CP032</t>
  </si>
  <si>
    <t>CP033</t>
  </si>
  <si>
    <t>CP034</t>
  </si>
  <si>
    <t>Complemento duplicado Gerente Financiero</t>
  </si>
  <si>
    <t>CP035</t>
  </si>
  <si>
    <t>Importe inconsistente vs factura</t>
  </si>
  <si>
    <t>CP036</t>
  </si>
  <si>
    <t>Relación incorrecta factura en complemento</t>
  </si>
  <si>
    <t>CP037</t>
  </si>
  <si>
    <t>Consulta sin factura vinculada</t>
  </si>
  <si>
    <t>Registro no válido/bloqueado</t>
  </si>
  <si>
    <t>Validación negocio</t>
  </si>
  <si>
    <t>1. Buscar</t>
  </si>
  <si>
    <t>CP038</t>
  </si>
  <si>
    <t>1. Filtrar mes sin datos</t>
  </si>
  <si>
    <t>CP039</t>
  </si>
  <si>
    <t>Datos solo propios proveedor Servicios</t>
  </si>
  <si>
    <t>CP040</t>
  </si>
  <si>
    <t>CP041</t>
  </si>
  <si>
    <t>Estado complemento pendiente validación</t>
  </si>
  <si>
    <t>CP042</t>
  </si>
  <si>
    <t>Cambio estado tras validación sistema</t>
  </si>
  <si>
    <t>1. Ejecutar proceso</t>
  </si>
  <si>
    <t>CP043</t>
  </si>
  <si>
    <t>Consistencia grid vs XML complemento</t>
  </si>
  <si>
    <t>CP044</t>
  </si>
  <si>
    <t>Concurrencia acceso simultáneo consulta</t>
  </si>
  <si>
    <t>Sin inconsistencias</t>
  </si>
  <si>
    <t>1. Acceder paralelo</t>
  </si>
  <si>
    <t>CP045</t>
  </si>
  <si>
    <t>CP046</t>
  </si>
  <si>
    <t>Sesión expirada al visualizar PDF</t>
  </si>
  <si>
    <t>CP047</t>
  </si>
  <si>
    <t>Integridad complemento-factura-pago Gerente</t>
  </si>
  <si>
    <t>CP048</t>
  </si>
  <si>
    <t>1. Intentar cambio</t>
  </si>
  <si>
    <t>Incidente</t>
  </si>
  <si>
    <t>Nivel</t>
  </si>
  <si>
    <t>Responsable</t>
  </si>
  <si>
    <t>Pantalla</t>
  </si>
  <si>
    <t>Revisión DEV</t>
  </si>
  <si>
    <t>Ajuste DEV</t>
  </si>
  <si>
    <t>Validado QA</t>
  </si>
  <si>
    <t>Comentario QA</t>
  </si>
  <si>
    <t>Fecha Reporte</t>
  </si>
  <si>
    <t>Fecha Resuelto</t>
  </si>
  <si>
    <t>Ajustar el documento PDF que se genera automáticamente cuando un proveedor no carga su nota de crédito. El campo «Folio Fiscal Relacionado» no está tomando el valor del elemento CfdiRelacionado (UUID).</t>
  </si>
  <si>
    <t>Roberto</t>
  </si>
  <si>
    <t>Notas de crédito</t>
  </si>
  <si>
    <t>x</t>
  </si>
  <si>
    <t>D</t>
  </si>
  <si>
    <t>Ajustar el proceso de sincronización de facturas y notas de crédito. En cada consulta, registrar la respuesta de SAP con los siguientes datos: documento SAP, mensaje y fecha contable del documento procesado. Si el registro no cambia de estatus, no volver a procesarlo, a fin de evitar información duplicada.</t>
  </si>
  <si>
    <t>Facturación</t>
  </si>
  <si>
    <t>Al cancelar una nota de crédito (NC), el cambio de estatus se realiza correctamente; sin embargo, falta implementar el siguiente flujo: cambiar a «Recibido parcial» el estatus de la factura relacionada y el de todas sus notas de crédito asociadas.</t>
  </si>
  <si>
    <t>David</t>
  </si>
  <si>
    <t>Al intentar cancelar la NC marca error 403
21/09/2026
Aun no esta corregido.</t>
  </si>
  <si>
    <t>Al cancelar una factura con estatus «Recibido parcial», cambiar automáticamente a «Cancelado» el estatus de todas las notas de crédito relacionadas y a «Disponible» el estatus de la recepción. Actualmente, este flujo está implementado.</t>
  </si>
  <si>
    <t>Al intentar cancelar la NC marca error 403</t>
  </si>
  <si>
    <t>El estado de cuenta está incluyendo recepciones, facturas y notas de crédito canceladas. Estos documentos no deben mostrarse en el estado de cuenta.</t>
  </si>
  <si>
    <t>Estado de Cuenta</t>
  </si>
  <si>
    <t>21/09/2026
Ya se encuentra corregido,</t>
  </si>
  <si>
    <t>Al cancelar una nota de crédito (NC), esta continúa considerándose en la sumatoria de la relación de la factura. Las notas de crédito canceladas no deben incluirse en dicha suma.</t>
  </si>
  <si>
    <t>Al intentar cargar un complemento de pago, el sistema muestra un error 403.</t>
  </si>
  <si>
    <t>Complemento Pago</t>
  </si>
  <si>
    <t>Cuando un usuario inicia sesión por primera vez, revisar el macrorrol asignado para configurar de forma predeterminada el perfil genérico correspondiente y evitar que se muestre una pantalla en blanco.</t>
  </si>
  <si>
    <t>En la pantalla de detalle de Carta Porte, el ID del usuario que realizó el registro se muestra como un valor numérico. Se debe mostrar el nombre del usuario. (Ocultar etiqueta)</t>
  </si>
  <si>
    <t>En la pantalla de detalle, la información de las columnas «Número de documento» y «Documento SAP» está invertida. Además, quitar la columna «Fecha de actualización» para evitar que se muestre la barra de desplazamiento.</t>
  </si>
  <si>
    <t>En el reporte de detalle del pago, ajustar el nombre del archivo CSV al formato: detalle_pago_NumeroDocSAP_yyyymmdd.hh24mmss.csv.</t>
  </si>
  <si>
    <t>25/09/2026
Corregido:
pagos_20260925.105425</t>
  </si>
  <si>
    <t>Agregar la columna «Tipo de recepción» al proceso de descarga de recepciones de proveedores de mercancía. Consultar la historia de usuario: https://falabella.atlassian.net/browse/STM-1528.</t>
  </si>
  <si>
    <t>Josue Lopez</t>
  </si>
  <si>
    <t>Listado Recepciones</t>
  </si>
  <si>
    <t>Pendiente de validar</t>
  </si>
  <si>
    <t>Ajustar el proceso de registro de recepciones de Carta Porte para publicar el tipo de recepción de los viajes.</t>
  </si>
  <si>
    <t>Crear el proceso para registrar los gastos adicionales generados en los viajes de los transportistas.</t>
  </si>
  <si>
    <t>Y</t>
  </si>
  <si>
    <t>Agregar la columna «Tipo de recepción» a la notificación de recepciones pendientes de relacionar con una factura. (Colocar la descripción del tipo de recepción), validar que la recepción sean solo las disponibles (Revisar el back de recepciones)</t>
  </si>
  <si>
    <t>Con el usuario zedlav.sd87@gmail.com, al cambiar de institución o país, se siguen mostrando las tarjetas de México.</t>
  </si>
  <si>
    <t>Oscar Bonelli</t>
  </si>
  <si>
    <t>21/09/2026
Se encuentra corregido.</t>
  </si>
  <si>
    <t>Quitar la columna «Estatus de OC» de la pantalla y del reporte de Three Way Match. Además, el estatus de la recepción no coincide con el catálogo CatEstatusRecepcion.</t>
  </si>
  <si>
    <t>En la pantalla de detalle de acuerdos comerciales no se muestra el nombre del proveedor; en su lugar, aparece el valor «ND».</t>
  </si>
  <si>
    <t>Descuentos Comercial</t>
  </si>
  <si>
    <t xml:space="preserve">
21/09/2026
Se encuentra corregido.</t>
  </si>
  <si>
    <t>Ajustar el nombre del archivo descargado del reporte de Three Way Match al siguiente formato: three_way_match_yyyymmdd.hh24mmss.csv o three_way_match_yyyymmdd.hh24mmss.xlsx, según corresponda.</t>
  </si>
  <si>
    <t>25/09/2026
Corregido 
Excel: three_way_match_20260925_122425
CSV: three_way_match_20260925_122523</t>
  </si>
  <si>
    <t>Quitar el grid de la nota de crédito y de la relación de factura, ya que la información se repite en el grid inferior.</t>
  </si>
  <si>
    <t>21/09/2026
Aun no se encuentra corregido.
22/09/2026
Corregido.</t>
  </si>
  <si>
    <t>Ajustar la pantalla de detalle del descuento comercial. Debajo de la relación de la nota de crédito, agregar un grid con las órdenes de compra que conforman el descuento comercial y las siguientes columnas: 
Orden de compra, Monto recibido, Fecha de recepción, Tipo de descuento y Monto de descuento.</t>
  </si>
  <si>
    <t>Eliminar todos los catálogos cuyo nombre contenga «test» / «Prueba» y conservar únicamente los que se utilizarán en producción. Antes de eliminarlos, respaldar la información por si se identifican errores o relaciones con otros catálogos.</t>
  </si>
  <si>
    <t>Catálogo de Catálogos</t>
  </si>
  <si>
    <t>21/09/2026
Validado, se encuentra corregido (QA).</t>
  </si>
  <si>
    <t>Agregar la columna «Tipo de recepción». Consultar la historia de usuario: https://falabella.atlassian.net/browse/STM-1526.</t>
  </si>
  <si>
    <t>Recepciones MIGO</t>
  </si>
  <si>
    <t>[Funcional][Control de acceso - Rol/Atributo] Implementar la gestión y asignación de atributos por rol, en sustitución de la administración por usuario.</t>
  </si>
  <si>
    <t>Se validan correctamente los Criterios de Aceptación en ambiente QA el 24/09/2026. El comportamiento cumple con el resultado esperado. Se procede a cerrar el ticket.</t>
  </si>
  <si>
    <t>[Funcional][Seguridad / Rol Atributo] No permite seleccionar valores de los atributos de segmentación</t>
  </si>
  <si>
    <t>Ya se muestra la lista desplegable de cada atributo. Falta validar que también se despliegue para «Empresa», «Grupo proveedor» y «Tipo rebate», además de ajustar aspectos de UX/UI. También se validó el filtrado de datos con el atributo «Tipo proveedor = Transporte», pero aún no funciona.</t>
  </si>
  <si>
    <t>[Backend][Global: Control de Acceso] Eventos relacionados con permisos incorrectos permiten ejecutar acciones no autorizadas</t>
  </si>
  <si>
    <t>El catálogo «Permiso» ha sido modificado y homologado, adicionalmente que la matriz de de "Catálogos x Permisos" ha sido subida al ticket de Jira para que se aplique la actualización correspondiente.</t>
  </si>
  <si>
    <t>[Funcional][Catálogos: Elementos] Filtro "Catálogo Padre" muestra catálogos sin relación con el catálogo consultado</t>
  </si>
  <si>
    <t>Se validan correctamente los Criterios de Aceptación en ambiente QA el 21/09/2026. El comportamiento cumple con el resultado esperado. Se procede a cerrar el ticket.</t>
  </si>
  <si>
    <t>[Funcional][Catálogos: Conversiones] La consulta no muestra en el grid las fechas de inicio y fin de los elementos de conversión</t>
  </si>
  <si>
    <t>Revisar los xml de recepciones debido a error de parcero en el proceso de registro de recepciones en FBC</t>
  </si>
  <si>
    <t>No se visualizan las facturas pendientes de pago en el estado de cuenta, proveedor trabicel</t>
  </si>
  <si>
    <t>21/09/2026
Se encuentra coregido.</t>
  </si>
  <si>
    <t>Recepciones migo no sigue formato de descarga CSV, se guarda de esta manera: 
recepciones-migo-MIGO-20260918-003612306_20260921_15.53.20</t>
  </si>
  <si>
    <t>23/09/2026
Se encuentra corregido.</t>
  </si>
  <si>
    <t>CSV de cátalo de usuarios descarga con este nombre: catalogo-usuarios-21-09-2026-16-26 debería considerar formato nombre_yyyymmdd.hh24mmss</t>
  </si>
  <si>
    <t>CSV de Aplicativo Evento descarga con este nombre: aplicativo-evento-21-09-2026-16-31 debería considerar formato nombre_yyyymmdd.hh24mmss</t>
  </si>
  <si>
    <t>CSV de Perfil Aplicativo descarga con este nombre: perfil-aplicativo-21-09-2026-16-32 debería considerar formato nombre_yyyymmdd.hh24mmss</t>
  </si>
  <si>
    <t>En cualquier opción de Control de Acceso permite seleccionar fechas con días posteriores</t>
  </si>
  <si>
    <t>Inicio/Herramientas y Utilerías/Configuración de Parámetros: el nombre en la descarga en formato Excel y CSV, no se guarda de acuerdo con el formato: nombre_yyyymmdd.hh24mmss
Excel: parametros_20260922_0810.xlsx
CSV: parametros_20260922_0811.csv</t>
  </si>
  <si>
    <t>Inicio/Herramientas y Utilerías/Gestión de Catálogos/Proveedores: el nombre en la descarga en formato Excel y CSV, no se guarda de acuerdo con el formato: nombre_yyyymmdd.hh24mmss
Excel: proveedores_2026-09-22.xlsx
CSV: proveedores_2026-09-22.csv</t>
  </si>
  <si>
    <t>Inicio/Herramientas y Utilerías/Gestión de Catálogos/Bloqueo de Proveedores: el nombre en la descarga en formato Excel y CSV, no se guarda de acuerdo con el formato: nombre_yyyymmdd.hh24mmss
Excel: bloqueos_proveedores_2026-09-22.xlsx
CSV: bloqueos_proveedores_2026-09-22.csv</t>
  </si>
  <si>
    <t>Inicio/Herramientas y Utilerías/Gestión de Catálogos/Catálogos: el nombre en la descarga en formato Excel y CSV, no se guarda de acuerdo con el formato: nombre_yyyymmdd.hh24mmss
Excel: catalogos_20260922143201.xlsx
CSV: catalogos_20260922143136.csv</t>
  </si>
  <si>
    <t>Inicio/Herramientas y Utilerías/Bitácora de Actividades: se muestra mensaje de error: Error Error exportando CSV, al intentar realizar la descarga.</t>
  </si>
  <si>
    <t>Inicio/Herramientas y Utilerías: no es visible el recuadro de: Estado de conexión.</t>
  </si>
  <si>
    <t xml:space="preserve">Inicio&gt;Finanzas&gt;Guías de Embarque, la descarga de la Carta Porte, en formato XML y CSV, no se guarda en formato correcto: nombre_yyyymmdd.hh24mmss
XML: Carta_Porte_ABASTO_379EX215092026202610.xml
CSV: Carta_Porte_ABASTO_379EX215092026202610.csv
</t>
  </si>
  <si>
    <t>No aplica el cambio es correcto el formato  que tiene</t>
  </si>
  <si>
    <t>Los asignación/desasignación de nuevos eventos de agregados de la pantalla "Conversiones" en el Módulo de Catálogos no están funcionando correctamente, se debe generar o arreglar la relación con los componentes.</t>
  </si>
  <si>
    <t>Inicio&gt;Fiscal&gt;Facturas, al exportar el Listado de facturas a CSV, se guarda de la siguiente manera:
                        factura_20260923_09.45.59
No cumple con el formato: nombre_modulo_yyyymmdd.h24miss.csv.</t>
  </si>
  <si>
    <t>Ajustado
25/09/2026
Corregido:
factura_20260925.105001</t>
  </si>
  <si>
    <t>Inicio&gt;Fiscal&gt;Facturas, al exportar XML y PDF de la factura, se guarda de la siguiente manera:
                        XML: 9101027130-20260923.0950
                        PDF: 9101027130-20260923.0950
No cumple con el formato: nombre_modulo_yyyymmdd.h24miss.csv.</t>
  </si>
  <si>
    <t>25/09/2026
Corregido
Excel: factura_20260925.125511
PDF:   factura_20260925.125724</t>
  </si>
  <si>
    <t>Inicio&gt;Fiscal&gt;Notas de Crédito, al exportar el Listado de notas de crédito a CSV, se guarda de la siguiente manera:
                        nota_credito_20260923_09.54.00
No cumple con el formato: nombre_modulo_yyyymmdd.h24miss.csv.</t>
  </si>
  <si>
    <t>25/09/2026
Parcialmente corregido:
El nombre del archivo al exportar se genera correctamente: nota_credito_20260925.130533
Sin embargo, el horario se mantiene para las proximas exportaciones</t>
  </si>
  <si>
    <t>Inicio&gt;Fiscal&gt;Notas de Crédito, al exportar XML y PDF de la nota de crédito, se guarda de la siguiente manera:
                        XML: a252062a-bd50-49c6-86c9-800c3bf3c0bf
                        PDF: AA-73304-20260923.1004
No cumple con el formato: nombre_modulo_yyyymmdd.h24miss.csv.</t>
  </si>
  <si>
    <t>25/09/2026
Corregido:
XML: nota_credito_20260925.131239
PDF:  nota_credito_20260925.131316</t>
  </si>
  <si>
    <t>Inicio&gt;Finanzas&gt;Pagos, al exportar el Listado de pagos a CSV, se guarda de la siguiente manera:
                        pagos_20260923_16.03.55
No cumple con el formato: nombre_modulo_yyyymmdd.h24miss.csv.</t>
  </si>
  <si>
    <t>25/09/2026
Se encuentra corregido:
pagos_20260925.102439</t>
  </si>
  <si>
    <t>CARGA DE INCIDENCIAS POR RESPONSABLE</t>
  </si>
  <si>
    <t>48 incidencias abiertas · desglose por nivel de complejidad</t>
  </si>
  <si>
    <t>Total asignado</t>
  </si>
  <si>
    <t>Cerrados</t>
  </si>
  <si>
    <t>Pendientes</t>
  </si>
  <si>
    <t>TOTAL GENERAL</t>
  </si>
  <si>
    <t>Etiquetas de fila</t>
  </si>
  <si>
    <t>Suma de Validado QA</t>
  </si>
  <si>
    <t>(en blanco)</t>
  </si>
  <si>
    <t>Total general</t>
  </si>
  <si>
    <t>Opciones</t>
  </si>
  <si>
    <t>Total Validados</t>
  </si>
  <si>
    <t>Porcentaje Validado</t>
  </si>
  <si>
    <t>Issue Abiertos</t>
  </si>
  <si>
    <t>Notas de Crédito</t>
  </si>
  <si>
    <t>Catálogo de catálogos</t>
  </si>
  <si>
    <t>Configuración de parámetros</t>
  </si>
  <si>
    <t>Modulo</t>
  </si>
  <si>
    <t>Utilerias</t>
  </si>
  <si>
    <t>Responsable UAT</t>
  </si>
  <si>
    <t>Gestión de seguridad</t>
  </si>
  <si>
    <t>Complemento de pago</t>
  </si>
  <si>
    <t>Auditoria</t>
  </si>
  <si>
    <t>ETL</t>
  </si>
  <si>
    <t>Bloqueado</t>
  </si>
  <si>
    <t>Daniel Moreno</t>
  </si>
  <si>
    <t>📋  GUÍA DE USO – MATRIZ DE SEGUIMIENTO DE PRUEBAS</t>
  </si>
  <si>
    <t>CAMPO</t>
  </si>
  <si>
    <t>DESCRIPCIÓN</t>
  </si>
  <si>
    <t>VALORES PERMITIDOS</t>
  </si>
  <si>
    <t>Identificador único del escenario. Formato: TC-XXX</t>
  </si>
  <si>
    <t>TC-001, TC-002…</t>
  </si>
  <si>
    <t>Descripción clara y concisa del caso de prueba</t>
  </si>
  <si>
    <t>Texto libre</t>
  </si>
  <si>
    <t>Módulo principal del sistema al que pertenece</t>
  </si>
  <si>
    <t>Ej: Autenticación</t>
  </si>
  <si>
    <t>Componente específico dentro del módulo</t>
  </si>
  <si>
    <t>Ej: Login, Logout</t>
  </si>
  <si>
    <t>Nivel de criticidad del escenario</t>
  </si>
  <si>
    <t>Alta / Media / Baja</t>
  </si>
  <si>
    <t>Estado actual de la ejecución del escenario</t>
  </si>
  <si>
    <t>Ver tabla de estados</t>
  </si>
  <si>
    <t>Comportamiento esperado según los criterios de aceptación</t>
  </si>
  <si>
    <t>Comportamiento real observado durante la ejecución</t>
  </si>
  <si>
    <t>Vinculación Bug</t>
  </si>
  <si>
    <t>ID del bug en Jira si el escenario falló; '-' si no aplica</t>
  </si>
  <si>
    <t>STM-XXXX o -</t>
  </si>
  <si>
    <t>Nombre del QA asignado a este escenario</t>
  </si>
  <si>
    <t>Nombre del tester</t>
  </si>
  <si>
    <t>Nombre del responsable del equipo de negocio</t>
  </si>
  <si>
    <t>Nombre Owner</t>
  </si>
  <si>
    <t>LEYENDA DE ESTADOS</t>
  </si>
  <si>
    <t>El escenario aún no ha sido ejecutado</t>
  </si>
  <si>
    <t>El escenario está siendo ejecutado</t>
  </si>
  <si>
    <t>El escenario fue ejecutado exitosamente</t>
  </si>
  <si>
    <t>El resultado no coincidió con lo esperado</t>
  </si>
  <si>
    <t>No se puede ejecutar por un impedimento</t>
  </si>
  <si>
    <t>En la pantalla de bitacora de actividades tiene el link de auditoria el cual no funciona, para este caso
solo debe llevar a Inicio -&gt; Herramientas y Utilerias -&gt;  Bitacora de Actividades</t>
  </si>
  <si>
    <t>Bitacora de actividades</t>
  </si>
  <si>
    <t>Validado por QA 23/06/2026 corregido.</t>
  </si>
  <si>
    <t>El diseño de la pantalla de Bitacora de actividades se distorsiono considerando el layout de todas las pantallas que se han trabajado</t>
  </si>
  <si>
    <t>Cambiar el formato para descargar los reportes de Excel y CSV colocarlos en formato de botón secundario del lado izquierdo del botón de bloqueo de proveedores</t>
  </si>
  <si>
    <t>Bloqueo de proveedores</t>
  </si>
  <si>
    <t>No permitir cargar la data solo hasta que el usuario seleccione los filtros de busqueda</t>
  </si>
  <si>
    <t>El botón de buscar colocarlo al lado izquierdo del campo de busqueda Estatus y el link de limpar colocarlo a lado derecho del botón de buscar ademas de cambiarlo a botón secundarios</t>
  </si>
  <si>
    <t>La pantalla de Catálogo de Catálogos no tiene el filtro de busqueda inicial presentando el grid de consulta y la distribución de los botones el botón de buscar colocarlo a la izquieda y el botón de limpiar a la derecha ademas de colocarlo en formato de botón</t>
  </si>
  <si>
    <t>El link de volver en la pagina de catálogo de catálogos enviarlo a la derecha</t>
  </si>
  <si>
    <t>Los botones de Exportar a CSV y Excel dejarlos visible pero inactivos cuando no exista data, cuando retorne resultado el grid activar los botones</t>
  </si>
  <si>
    <t xml:space="preserve">Marca error de query al intentar agregar un nuevo evento en la pantalla "Catálogo de catálogo" </t>
  </si>
  <si>
    <t>Cambiar el formato para descargar los reportes de Excel y CSV colocarlos en formato de botón secundario del lado izquierdo del botón de catálogo de proveedores</t>
  </si>
  <si>
    <t>Catálogo de proveedores</t>
  </si>
  <si>
    <t>El calendario de busqueda en la pagina de complemento de pago se pierde el mes y año en que se encuentra ademas es complejo operarlo</t>
  </si>
  <si>
    <t xml:space="preserve">Los Link del flujo de pantallas no funcionan en la pantalla y tampoco redirecciona al home
Configuración de Parámetros
</t>
  </si>
  <si>
    <t>Agregar una columna en la addenda de la NC indicando si viene de un descuento comercial o ajuste por recepción
2 - Descuento Comercial</t>
  </si>
  <si>
    <t>Cuando selecciona la opción de "Todos los tipos" en el listbox de "Tipo Rebate" no retorna nada, cuando se deja en blanco el tipo de rebate retorna resultado</t>
  </si>
  <si>
    <t>Cuando selecciona la opción de "Todos los tipos" en el listbox de estatus no retorna nada, cuando se deja en blanco el tipo de rebate retorna resultado</t>
  </si>
  <si>
    <t>Validado por QA 24/06/2026 corregido.</t>
  </si>
  <si>
    <t>El botón de buscar en el estado de cuenta se debe presentar como botón primario</t>
  </si>
  <si>
    <t>La paginación en el estado de cuenta no esta funcionando</t>
  </si>
  <si>
    <t>La paginación aplica hasta dar una segunda selección de los registros a visualizar</t>
  </si>
  <si>
    <t>En el grid de consulta el nombre del proveedor no se visualiza, considerando que se encuentra catálogado, el ejemplo es el proveedor 34786</t>
  </si>
  <si>
    <t>Cuando se realiza la busqueda por proveedor, no retorna la información de los datos que estan relacionados</t>
  </si>
  <si>
    <t>El boton de limpiar no deja en blanco los parametros de busqueda</t>
  </si>
  <si>
    <t>Validado por QA 25/06/2026 corregido.</t>
  </si>
  <si>
    <t>Cuando se busca un mes y no existe información, presentar una modal de alerta indicando que no existe información en el periodo consultado</t>
  </si>
  <si>
    <t>No se visualiza el nombre del proveedor considerando que se encuentra dado de alta en el catálogo de proveedores</t>
  </si>
  <si>
    <t>Marca error de consulta cuando seleccionamos el mes en el estado de cuenta</t>
  </si>
  <si>
    <t>El calendario de busqueda en la pagina de facturación se pierde el mes y año en que se encuentra ademas es complejo operarlo</t>
  </si>
  <si>
    <t>El tipo de proveedor no se visualiza en el grid de consulta de facturación cuando se hace un cambio en el catálogo de tipo de proveedores</t>
  </si>
  <si>
    <t>El valor de la recepción en la facturación se presenta en un valor guid_doc lo que se espera visualizar es en un valor numerico</t>
  </si>
  <si>
    <t>El filtro de busqueda de las facturas esta retornando información de otros días de consulta</t>
  </si>
  <si>
    <t>No se visualiza el PDF publicado de la factura, marca error al intentar abrir el archivo</t>
  </si>
  <si>
    <t>Cuando se publica una factura la fecha de recepción esta considerando otro dato, lo que se espera es que se registre con la fecha actual del registro de la factura</t>
  </si>
  <si>
    <t xml:space="preserve">El botón de cancelar factura debera estar activo cuando se encuentre en los siguientes estatus:
3 - En proceso envio
6 - Error en el desglose de la factura
16 - Estructura invalida
</t>
  </si>
  <si>
    <t>Continua presentado los iconos para cancelar la factura</t>
  </si>
  <si>
    <t>Ajustar el texto principal de la tarjeta de finanzas por
Operaciones -&gt; Gestión de recepciones, pagos y descuentos</t>
  </si>
  <si>
    <t>Colocar en la parte superior de los grid de consulta el numero de registro que retorna la consulta en las siguientes pantallas
Recepciones
Guías de embarque
Descuentos Comerciales
Recepciones MIGO
Estado de cuenta
Three way match</t>
  </si>
  <si>
    <t>Ajustar el texto principal de la tarjeta de fiscal por
Cuéntanos, ¿Qué necesitas? -&gt; Gestión de documentación fiscal</t>
  </si>
  <si>
    <t>Colocar en la parte superior de los grid de consulta el numero de registro que retorna la consulta en las siguientes pantallas
Facturacion
Notas de Crédito
Complemento pago</t>
  </si>
  <si>
    <t>El calendario de busqueda en la pagina de notas de crédito se pierde el mes y año en que se encuentra ademas es complejo operarlo</t>
  </si>
  <si>
    <t>En la pantalla de notas de crédito dejar un solo botón primario, el botón de Exportar CSV cambiarlo a blanco,</t>
  </si>
  <si>
    <t>Validado por QA 29/06/2026 corregido.</t>
  </si>
  <si>
    <t>El tipo de proveedor no se visualiza en el grid de consulta de notas de crédito cuando se hace un cambio en el catálogo de tipo de proveedores</t>
  </si>
  <si>
    <t>El filtro de busqueda de las notas de crédito esta retornando información de otros días de consulta</t>
  </si>
  <si>
    <t>Filtrar la condición de pago permitidas para dar de alta una nota de crédito</t>
  </si>
  <si>
    <t>Agregar una columna en la addenda de la NC indicando si viene de un descuento comercial o ajuste por recepción
1 - Ajuste por recepción</t>
  </si>
  <si>
    <t>Marca error de archivo XML obligatorio cuando existe registrado previamente</t>
  </si>
  <si>
    <t>No valida el bloqueo de proveedores por tipo de proveedor</t>
  </si>
  <si>
    <t>El cambio de estatus de la recepción a manual no se actualiza, revisar que permita cambiar a "Consumida Manual" y validar si guardamos la información del uuid en una tabla alterna, validar que no exista el uuid registrado previamente en el modulo fiscal</t>
  </si>
  <si>
    <t>Ajustar el servicio de facturación para validar si la factura que intentan publicar no existe registrada previamente en la addenda manual</t>
  </si>
  <si>
    <t>Colocar en el back la fecha del sistema en la columna fecha de recepción "Fecha Recepción"</t>
  </si>
  <si>
    <t>El reporte de recepciones cuando se consulta por tipo de proveedor no esta relacionado al catálogo de Tipo de Proveedor</t>
  </si>
  <si>
    <t>Agregar la columna Guía en el grid de consulta  a un lado de Orden Compra</t>
  </si>
  <si>
    <t>Cuando se hace el filtrado por proveedor retorna información de otros proveedores</t>
  </si>
  <si>
    <t>Validado por QA 29/06/2026 no corregido.</t>
  </si>
  <si>
    <t>Cuando sea relacioado una recepción con una factura de manera exitosa, bloquear el botón de guardar, limpiar y la carga de documentos PDF y XML para evitar tener mas acciones que puedan afectar los datos</t>
  </si>
  <si>
    <t>En la pantalla detalle de recepción el botón Exportar CSV colocarlo en la parte superior como botón primario.</t>
  </si>
  <si>
    <t>Validado por QA 30/06/2026 corregido.</t>
  </si>
  <si>
    <t>El tipo de proveedor no se visualiza en el grid de consulta de recepciones cuando se hace un cambio en el catálogo de tipo de proveedores</t>
  </si>
  <si>
    <t>Josue</t>
  </si>
  <si>
    <t>pendiente de confirmar 3 p.m.</t>
  </si>
  <si>
    <t>Cuando se publica una factura no cambia el estatus de la recepción a consumido cuando el valor de la factura vs recepcion es igual al 100%</t>
  </si>
  <si>
    <t>Cuando se publica una factura no cambia el estatus de la recepción a consumido cuando el valor de la factura vs recepcion tiene tolerancia de +-$40</t>
  </si>
  <si>
    <t>Cuando se publica una factura no cambia el estatus de la recepción a consumido cuando el valor de la factura es mayor a la recepción considerando la tolerancia</t>
  </si>
  <si>
    <t>Ajustar la pantalla de recepciones MIGO pegando el campo de nombre archivo, botón de buscar y limpiar al lado izquierdo</t>
  </si>
  <si>
    <t>Los calendarios de busqueda no funcionan hasta no presionar el botón de buscar, este punto se presenta en las siguientes paginas:
Aplicativo Evento
Perfil Aplicativo
Perfil Evento
Perfil Usuario
Rol Usuario
Rol Permisos
Usuario Atributo</t>
  </si>
  <si>
    <t>Los filtros de seguridad por evento en las siguientes pantallas no esta operando</t>
  </si>
  <si>
    <t>El botón de inicio en la tarjeta de utilerias no funciona, se espera que regrese al home de FBC</t>
  </si>
  <si>
    <t>Ajustar el texto principal de la tarjeta de utilerias por
Operaciones -&gt; Auditoría y trazabilidad de eventos del módulo financiero y fiscal</t>
  </si>
  <si>
    <t xml:space="preserve">Colocar en la parte superior de los grid de consulta el numero de registro que retorna la consulta en las siguientes pantallas
Aplicativo Evento
Perfil Aplicativo
Perfil Evento
Perfil Usuario
Rol Usuario
Rol Permisos
Usuario Atributo
</t>
  </si>
  <si>
    <t>Permitir registrar una nota de crédito siempre y cuando se encuentra configurado el medio de pago de la factura en el catálogo CatFormaPagoValidoNc</t>
  </si>
  <si>
    <t>Al publicar una OC con el listado de recepciones en el monto de la OC no presenta resultado</t>
  </si>
  <si>
    <t xml:space="preserve">No permite publicar una recepción con fecha del 15/06/2026 marca error en la fecha de publicación </t>
  </si>
  <si>
    <t>La fecha de publicación no se esta filtrando de manera correcta desde los campos de búsqueda</t>
  </si>
  <si>
    <t xml:space="preserve">Cuando autorizada las recepciones registrarla en el módulo de “Recepciones”
 con el el estatus “0- Disponible” actualmente se está registrado con el valor “1 – Consumida” lo cual es incorrecto. </t>
  </si>
  <si>
    <t xml:space="preserve">La fecha de registro de la recepción se esta registrando de manera incorrecta, 
el registro se dio de alta con la fecha del 12/06/2026 pero en el sistema se registro con la fecha del 12/06/2026 </t>
  </si>
  <si>
    <t>Dejar el botón primario de “Publicar OC”, el botón de buscar y limpiar
 dejarlos como botones secundarios</t>
  </si>
  <si>
    <t xml:space="preserve">Al momento de autorizar la recepción marco error </t>
  </si>
  <si>
    <t>El calendario de búsqueda en la página de complemento de pago se pierde el mes y año en que se encuentra, además es complejo operarlo</t>
  </si>
  <si>
    <t>El calendario de búsqueda en la página de facturación se pierde el mes y año en que se encuentra, además es complejo operarlo</t>
  </si>
  <si>
    <t>Ajustar el texto principal de la tarjeta de fiscal por: Cuéntanos, ¿Qué necesitas? -&gt; Gestión de documentación fiscal</t>
  </si>
  <si>
    <t>El calendario de búsqueda en la página de notas de crédito se pierde el mes y año en que se encuentra, además es complejo operarlo</t>
  </si>
  <si>
    <t>En la pantalla de notas de crédito dejar un solo botón primario, el botón de Exportar CSV cambiarlo a blanco</t>
  </si>
  <si>
    <r>
      <rPr>
        <sz val="11"/>
        <color rgb="FF000000"/>
        <rFont val="Calibri"/>
        <family val="2"/>
        <scheme val="minor"/>
      </rPr>
      <t xml:space="preserve">Ajustar el texto principal de la tarjeta de finanzas por: </t>
    </r>
    <r>
      <rPr>
        <b/>
        <sz val="11"/>
        <color rgb="FF000000"/>
        <rFont val="Calibri"/>
        <family val="2"/>
        <scheme val="minor"/>
      </rPr>
      <t>Operaciones -&gt; Gestión de recepciones, pagos y descuentos</t>
    </r>
  </si>
  <si>
    <t>Validado por QA 06/07/2026 corregido.</t>
  </si>
  <si>
    <t>Ajustar pantalla del catálogo de proveedores para validar el número de proveedor permitiendo solo registrar valores númericos</t>
  </si>
  <si>
    <t>El botón de buscar dejarlo en blanco o en botón secundario</t>
  </si>
  <si>
    <t>Dejar como botón primario el reporte "Exportar CSV"</t>
  </si>
  <si>
    <t>En la consulta de la factura en la pantalla de recepción no se visualiza el documento fiscal relacionado</t>
  </si>
  <si>
    <t>Ajustar pantalla del catálogo de bloqueo de proveedores para validar el número de proveedor permitiendo solo registrar valores númericos</t>
  </si>
  <si>
    <t>En la pantalla de facturación el botón de Exportar CSV dejarlo como botón primario</t>
  </si>
  <si>
    <t>Se intento aplicar seguridad por perfil y evento a las siguientes pantallas, las cuales no ocultaron los botones.
Guías de embarque
Descuentos Comerciales
Pagos
Estado Cuenta
Three way match
Publicación recepciones MIGO
Facturación
Notas de Crédito
Complemento de Pago</t>
  </si>
  <si>
    <t>En la pantalla de pagos no oculta los eventos</t>
  </si>
  <si>
    <t xml:space="preserve">Agregar el número de proveedor y nombre de proveedor en el listado de artículos publicados en Recepciones MIGO a un Lado de la etiqueta Monto OC
</t>
  </si>
  <si>
    <t xml:space="preserve">Agregar el número de proveedor en la pantalla del listado de recepciones  a un lado de la columna Sucursal con los siguientes nombre Número Proveedor, Nombre Proveedor
</t>
  </si>
  <si>
    <t xml:space="preserve">Cambiar los titulos del grid en la pantalla de ordenes de compra por los siguientes nombres
Nro. Orden de Compra  -&gt; Orden Compra
Nro. Recepción	-&gt; Recepción
Sucursal	
Agregar columna -&gt; Número Proveedor
Proveedor	-&gt; Nombre Proveedor
Correo electrónico	
Nro. Guía	-&gt; Guía
Origen	
Fecha Recepción	
Importe sin Impuestos -&gt; Importe	
Monto OC	
</t>
  </si>
  <si>
    <t>En la pantalla de detalle para visualizar las facturas relacionadas en el campo monto esta presentando el valor con impuestos, se debe presentar el valor de la factura a nivel de subtotal</t>
  </si>
  <si>
    <t>Cuando se registra una factura con un monto superior a la recepción, presenta un mensaje de éxito, no muestra el msg de alerta indicando que se requieren agregar notas de crédito para iniciar a proceso de pago.</t>
  </si>
  <si>
    <t>En la pantalla de notas de crédito agregar el elemento FormaPago al momento de publicar el XML de la NC</t>
  </si>
  <si>
    <t>Ajustar la pantalla de notas de crédito colocando el elemento uuid relacionado en el campo uuid relacionado</t>
  </si>
  <si>
    <t>Ajustar el servicio de consulta de documento agregando el elemento uuid relacionado</t>
  </si>
  <si>
    <t xml:space="preserve">No permite subir una factura que no tiene serie pero si folio, la regla para publicar un documento es la siguiente: Si el documento no tiene serie y folio no debe permitir publicar la factura de lo contrario rechaza la factura o NC
</t>
  </si>
  <si>
    <t>En la pantalla de notas de crédito dejar un botón primario activo, solo el botón de "Agregar Nota Crédito" el botón de Exportar CSV dejarlo en blanco o secundario.</t>
  </si>
  <si>
    <t>El nombre del proveedor no se visualiza en el detalle de la recepción MIGO</t>
  </si>
  <si>
    <t>Acomodar el orden del listado de la factura cuando se relaciona a la recepción
RFC Emisor:	CNO120829961
Nombre Proveedor:	CREST NORTEAMERICA
UUID:	B5AF7C95-3110-4956-84AD-CDDF94A16861
Serie:	
Folio:	9100994004
Importe:	$5,445.03
Fecha Timbrado:	14/11/2025 15:41
Uso CFDI:	G01
Tipo Comprobante:	I</t>
  </si>
  <si>
    <t>El botón para cancelar una nota de cŕedito se encuentra inactivo, se activa cuando el estatus es 3 (Pendiente)</t>
  </si>
  <si>
    <t>En revisión de los estatus de la NC</t>
  </si>
  <si>
    <t>Cambiar el estatus de la factura al estatus 3 En proceso de envio cuando el valor de la recepción sea igual
 o este dentro del valor de la tolerancia comparando la  (factura - NCs)</t>
  </si>
  <si>
    <t>Cambiar el titulo del detalle de la recepción por el siguiente nombre
Facturas relacionadas - Documento fiscal relacionado</t>
  </si>
  <si>
    <t>Agregar el botón de ver documento fiscal en el detalle de la recepción para poder visualizar la factura o nota de crédito</t>
  </si>
  <si>
    <t>Cuando se presiona el filtro de todos los estatus de la recepción con fecha del 29/06/2026
 solo retorna 1 registro pero en realidad existe tres documentos dos de ellos tienen el estatus de "Consumido"</t>
  </si>
  <si>
    <t>Cuando se cambia de estatus de una factura a manual no dar reset a los campos capturados,
solo inactivarlos para identificar el estatus en que se quedo y el comentario capturado</t>
  </si>
  <si>
    <t>Cuando una recepción se cambie de estatus a factura manual en la consulta de las recepciones presentar el uuid que fue capturado</t>
  </si>
  <si>
    <t>Cuando se inactiva un proveedor se borra de la pantalla, se debe visualizar solo con cambio de estatus</t>
  </si>
  <si>
    <t>Catálogo de Proveedores</t>
  </si>
  <si>
    <t>Cuando se hace un filtrado que no tiene resultado presenta una modal indicando que no existe información
con el criterio de busqueda, pero al presionar por segunda ocasión no hace nada</t>
  </si>
  <si>
    <t>Cuando se carga una nota de crédito tarda en presentar el grid de la factura seria, mejor colocar un loading en la pantalla para evitar 
presionar botones que eviten la carga</t>
  </si>
  <si>
    <t>En el grid el uuid de la factura no se visualiza completo, para tener espacio quitar la columna de nombre proveedor, Fecha Recepción, Estado</t>
  </si>
  <si>
    <t>Cuando la factura no tenga una serie o folio en el nombre del archivo no colocar el guía medio que separa los nombres PDF</t>
  </si>
  <si>
    <t>Cuando la NC no tenga una serie o folio en el nombre del archivo no colocar el guía medio que separa los nombres PDF</t>
  </si>
  <si>
    <t>Cuando cancelo una factura me marca error 500</t>
  </si>
  <si>
    <t>Se requiere tener el payload para probar, no he podido replicar el error, posiblemente es el tema del ambiente UAT</t>
  </si>
  <si>
    <t>Cuando cancelo una nota de crédito me marca error 500</t>
  </si>
  <si>
    <t>El uuid de los documentos fiscales relacionados con la factura no corresponde con el uuid mostrado en
 pantalla lo cual ocasiona que no encuentre la factura</t>
  </si>
  <si>
    <t>En el detalle de los documentos fiscales relacionados no esta mostrando las notas de crédito</t>
  </si>
  <si>
    <t>Cuando la nota de crédito indica que se encuentra recibida anteriormente no inactivar el botón de limpiar</t>
  </si>
  <si>
    <t>Continua inactivando el botón de limpiar</t>
  </si>
  <si>
    <t>Cuando la recepción vs (Factura - Nota de Crédito) no cumpla con la condición de la tolerancia o sea igual valor de la recepción 
el estatus de las notas de crédito darlas de alta con el estatus 2 - Recibida parcial hasta que la factura - las notas de credito sea igual
al valor de la recepción o cumplan con la tolerancia se cambia el estatus de la factura y nota de credito a Proceso de Envio</t>
  </si>
  <si>
    <t>No cambio el estatus cuando complete las notas de credito vs factura</t>
  </si>
  <si>
    <t>Reordenar los estatus del catálogo de NC (Análisis del impacto)</t>
  </si>
  <si>
    <t>Cuando una factura tiene mas de una NC no retorna el listado de todas las NC relacionadas, para lograr la consulta agregar un campo mas de busqueda
con el nombre de UUID Factura a un lado del campo UUID, bajar el listbox de Tipo de Proveedor realizando mas corto el estado de la NC</t>
  </si>
  <si>
    <t>Agregar al API de consulta de NC el filtro por uuid de la factura relacionada</t>
  </si>
  <si>
    <t>Cuando se consulta por uuid en el filtro de la NC no retorna resultado</t>
  </si>
  <si>
    <t>Cuando una guía de embarque no tenga una orden de compra dejar el valor en blanco actualmente indica la leyenda undefined</t>
  </si>
  <si>
    <t>En el detalle de la guía de embarque tiene el estatus de "Cancelada" en la orden de compra pero al consultar la OC esta como Disponible</t>
  </si>
  <si>
    <t>Reportado a Fernando el 13/07/2026</t>
  </si>
  <si>
    <t>Cuando el link para ver un recepción o guía de embarque utilizar el id del proveedor dejando precargada la información
 en el listbox del proveedor, ya que una oc se puede repetir con otro proveedor</t>
  </si>
  <si>
    <t>Cuando el link para ver un recepción utilizar el id del proveedor dejando precargada la información
 en el listbox del proveedor, ya que una oc se puede repetir con otro proveedor</t>
  </si>
  <si>
    <t>Se realizo la prueba no realiza la precarga del id del proveedor en el listbox</t>
  </si>
  <si>
    <t>El mensaje cuando una recepcion tiene diferencias vs factura presentarla en una modal de confirmación para que el usuario pueda tomar la desición de continuar en caso de no aceptar no hacer ningun movimiento en los estatus</t>
  </si>
  <si>
    <t>Ajustar el mensaje de alerta cuando el valor de la factura es menor al de la recepción, considerando la tolerancia
ID: BUS2030
Msg: El importe de la factura es inferior al valor de la recepción, considerando la tolerancia permitida de $40.00 MXN. Por favor, valide la información y, en caso necesario, realice las correcciones correspondientes.
El valor de los $40 pesos tomarlo de la configuración vigente de la tolerancia</t>
  </si>
  <si>
    <t>En la tarjeta de fiscal de manera inicial no presenta todas las tarjetas relacionadas</t>
  </si>
  <si>
    <t>Inicio</t>
  </si>
  <si>
    <t>Cuando se intenta publicar una recepción que ya existe pero con otro número de orden de compra en MIGO se publica, pero no se visualiza en "Recepciones"
Una orden de compra puede tener n recepciones
Una Recepción solo puede tener una orden de compra</t>
  </si>
  <si>
    <t>El uuid del grid del detalle de la consulta de recepción no esta tomando el valor fiscal, esta retornando el valor del sistema</t>
  </si>
  <si>
    <t>En la columna monto recepcipon utilizar la mascara economica colocando signo de pesos y separado por comas</t>
  </si>
  <si>
    <t>La recepción 30 con la orden de compra 130 tiene relacionado con la factura db274a3a-90b6-492e-b180-62f0f6b29d14 en el reporte no retorna esa relación</t>
  </si>
  <si>
    <t>En la columna nombre proveedor no esta presentando el dato</t>
  </si>
  <si>
    <t>En el reporte en formato CSV y Excel en los valores de cabecera esta retornando nombres en ingles los valores esperados son los siguientes:
Orden Compra
Recepción	
Monto Recepción	
Fecha Recepción	
Serie	
Folio	
UUID	
Monto Factura	
Fecha Recepción 
Factura	
Documento SAP	
Monto Contable	
Fecha Contable	
Documento Pago	
Monto Pago	
Fecha Pago	
Número Proveedor	
Nombre Proveedor</t>
  </si>
  <si>
    <t>En la descripción de los titulos del reporte en formato CSV y Excel las letras que tiene acento se presenta con un carácter extraño</t>
  </si>
  <si>
    <t>Cuando se de click en la orden de compra relacionada a una guía de embarque colocar la fecha de filtrado conforme al valor que tenga en la recepción</t>
  </si>
  <si>
    <t>Ajustar servicio de ordenes de compra para presentar el uuid de la factura en el listado de los documentos relacionados
End Point https://uat.fbusinesscenter.com/ppsomx/backend-finanzas/purchase-orders/reception/f0f2b149-55f5-4794-bd8e-f4bf70109afc</t>
  </si>
  <si>
    <t xml:space="preserve">Al agregar la NC en la tabla de los documentos fiscales relacionados agregar el elemento UUID de la NC con el siguiente
Orden
RFC Emisor:
Número Proveedor:
Nombre Proveedor:
UUID
UUID Factura
</t>
  </si>
  <si>
    <t>En el icono de ver factura, mostrar la factura en una nueva pantalla</t>
  </si>
  <si>
    <t>Exportar Excel, descarga no muestra información en Origen. (QA)</t>
  </si>
  <si>
    <t>Guias de Embarque.</t>
  </si>
  <si>
    <t>Exportar CSV, descarga no muestra información en Origen. (QA)</t>
  </si>
  <si>
    <t>Búsqueda de Descuentos comerciales por rango de fecha, Estatus, Tipo Rebate, Documento SAP, Documento y Nombre Proveedor.
No muestra información, aunque si existen datos.</t>
  </si>
  <si>
    <t>Cuando se hace un registro de una factura manual no borrar el uuid capturado previamente</t>
  </si>
  <si>
    <t>En la pantalla de Perfil Evento la información se esta duplicando en la opción "Catálogo de catálogos"</t>
  </si>
  <si>
    <t>En la pantalla de Usuario la información se esta duplicando en las opciones por "Evento"</t>
  </si>
  <si>
    <t>Ajustar la consulta de guías de embarque para evitar presentar información de proveedores borrados "Borrado Logico"</t>
  </si>
  <si>
    <t>REV</t>
  </si>
  <si>
    <t>Ajustar la consulta de recepciones para evitar presentar información de proveedores borrados "Borrado Logico"</t>
  </si>
  <si>
    <t>En el grid de consulta de la pantalla Three way match falta colocar la columna Monto Pago y Fecha Pago</t>
  </si>
  <si>
    <t>En el reporte de Exportar de la pantalla Three way match en los nombres que llevan acento se descarga con un carácter extraño</t>
  </si>
  <si>
    <t>Agregar en la pantalla filtro en listbox del Tipo de Proveedor Entre la columna de Nombre Proveedor y Orden Compra</t>
  </si>
  <si>
    <t>El número de Proveedor y Nombre Proveedor mover la columna a una lado de  Fecha Pago</t>
  </si>
  <si>
    <t>Al intentar subir una nota de crédito marco error return unique key</t>
  </si>
  <si>
    <t>Agregar en la pantalla filtro en listbox del Tipo de Proveedor Entre la columna de Nombre Proveedor y Mes</t>
  </si>
  <si>
    <t xml:space="preserve">Cambiar los titulos del grid del detalle en los documentos de complemento de pago
Número documento -&gt; Número Documento 
Referencia documento -&gt; Referencia Documento	
Moneda	
Importe	
Tipo de documento -&gt; Tipo Documento	
Documento SAP -&gt; Referencia Pago	
Fecha de pago -&gt; Fecha Pago	
Estatus	
Fecha de registro -&gt; Fecha Registro	
Fecha de actualización	-&gt; Fecha de Actualización	
Factura / NC
</t>
  </si>
  <si>
    <t>Agregar una columna entre UUID Factura y  Tipo Proveedor con el nombre Tipo NC, el cual indique si fue una publicación por "Ajuste por Recepción" o "Descuento Comercial", el dato sacarlo de la Addenda para conocer el tipo de la nota de crédito publicada, la información reflejarla en el reporte CSV, la descripción obtener del catálogo "CatTipoNotaCredito"</t>
  </si>
  <si>
    <t>En el msg de diferencia en la tolerancia de una factura vs recepcion en los valores o montos utilizar la mascara de valor economico $000,000.00</t>
  </si>
  <si>
    <t>En el msg de confirmación al tener diferencia en la tolerancia de una factura vs recepcion en los valores o montos utilizar la mascara de valor economico $000,000.00</t>
  </si>
  <si>
    <t>En el filtro de la fecha inicio al momento de cargar la pagina colocar el día anterior vigente, para que el usuario pueda consultar la información del día anterior sin que tenga que cambiar la fecha para obtener los registros</t>
  </si>
  <si>
    <t>En la pantalla de aplicativo evento los registros de eventos se estan duplicando, por ejemplo la pantalla de Catálogo de catalogos tiene multiples registros pendientes y asignados</t>
  </si>
  <si>
    <t>Cuando se hace la busqueda de una nota de crédito utilizando el uuid relacionado, marca un error "Error al obtener datos"</t>
  </si>
  <si>
    <t>Cuando se realiza la busqueda por tipo de proveedor marcar error, Query failed</t>
  </si>
  <si>
    <t>No esta realizando el filtrado de los proveedores por tipo de proveedor</t>
  </si>
  <si>
    <t>Cuando se agregue una nota de crédito desde la pantalla de descuentos comerciales dejar precargada la siguiente información al momento de subir la NC
Referencia 
Tipo Rebate
Documento SAP
Importe
Periodo
Fecha Aplicación
Fecha Vencimiento
Número de Proveedor
Nombre Proveedor</t>
  </si>
  <si>
    <t>El filtro del tipo de proveedor no esta operando retorna los mismos registros, adicional agregar la columna
 tipo proveedor despues del nombre de proveedores</t>
  </si>
  <si>
    <t>Cuando se intenta cancelar una NC, marca error indicando que no existe el uuid que se desea cancelar</t>
  </si>
  <si>
    <t>En la consulta del estado de cuenta no esta filtrando la información por tipo de proveedor</t>
  </si>
  <si>
    <t>En el reporte PDF el estatus de las ordenes de compra y recepción esta presentando un valor en 0, se espera visualizar la descripción del estatus</t>
  </si>
  <si>
    <t>Agregar en el grid de consulta del estado de cuenta el tipo de proveedor entre Año y Número de Proveedor</t>
  </si>
  <si>
    <t>Marco error al intentar rechazar el estado de cuenta
Revisión solicitada. REQUESTS_API_URL no está configurada. Ej.: https://uat.fbusinesscenter.com/ppsomx/backend</t>
  </si>
  <si>
    <t>El uuid de las notas de crédito y facturas en el estado de cuenta se visualizan entre cortadas, presentar el valor completo del uuid</t>
  </si>
  <si>
    <t>Error al intentar consultar el estado de cuenta marca error data query failed</t>
  </si>
  <si>
    <t>Cuando se realiza la cancelación de una guia de embarque cambia el estatus a "En proceso de contabilización", el valor correcto es</t>
  </si>
  <si>
    <t>Agregar la columna tipo de proveedor entre la columna Monto Pago y Número de Proveedor para visualizarlo en el grid y en el reporte Excel y CSV</t>
  </si>
  <si>
    <t>Cuando se publique una factura colocar un loading para dejar que procese la información, actualmente me permite subir otro archivo mientras esta procesando el documento</t>
  </si>
  <si>
    <t>Al intentar descargar una factura y notas de credito en los PDF opcionales marca error, indicando que no existe el archivo PDF</t>
  </si>
  <si>
    <t>Cuando se agregue una nota de crédito validar que el nodo "TipoRelacion"
 sea 01 comparando que la factura se encuentra registrada en el sistema, cualquier otro uuid relacionado que no tenga el valor "01" no se toma en cuenta para consultar la factura en el sistema</t>
  </si>
  <si>
    <t>Ajustar el diseño de la pantalla Bitacora de actividades, actualmente el botón de buscar y el calendario se encuentran traslapados</t>
  </si>
  <si>
    <t>En la pantalla Aplicativo Evento en la columna Eventos agregar en el listado el nombre de la
 pantalla y un separador con un | y el nombre del evento</t>
  </si>
  <si>
    <t>Dar de alta un usuario al entrar a la tarjeta de finanzas cuando sea un usuario nuevos</t>
  </si>
  <si>
    <t>Todo</t>
  </si>
  <si>
    <t>En la pantalla "Bitacora de Actividades" colocar un listbox en el campo de modulo utilizando el catálogo "CatModulo"</t>
  </si>
  <si>
    <t>En la pantalla "Bitacora de Actividades" colocar un listbox en el campo de aplicativo utilizando el catálogo "CatAplicativo"</t>
  </si>
  <si>
    <t>La tabla con los valores relacionados a la factura las etiquetas de RFC Emisor, Nombre Proveedor etc alinearlos a la derecha</t>
  </si>
  <si>
    <t>Cuando se realice la cancelación de una orden de compra de tipo proveedor, tambien cambiar todas las guías de embarque que tengan relacionada la orden de compra a estatus cancelado</t>
  </si>
  <si>
    <t>Pendiente de revisar la reglas de negocio - Ivan</t>
  </si>
  <si>
    <t>En el listbox de proveedores solo presentar los que tiene el tipo de proveedor transportista activos e inactivos</t>
  </si>
  <si>
    <t>Continua presentando a proveedores de mercancia</t>
  </si>
  <si>
    <t>En el listbox de proveedores solo presentar los que tiene el tipo de proveedor activos e inactivos</t>
  </si>
  <si>
    <t>Cuando se consulte información de proveedores inactivos en la pantalla de recepcion presentarlo solo no se presenta cuando exista borrado logico del proveedor</t>
  </si>
  <si>
    <t>Cuando se captura un uuid de una recepción registrada manualmente anteriormente retorna un error indicando que ya existe el registro,
 lo cual es correcto el problema es que a nivel pantalla retorna errores de js</t>
  </si>
  <si>
    <t>Cuando se captura un uuid de una recepción registrada  anteriormente por medio de un archivo xml  permite actualizar el estatus, no valida el valor del uuid</t>
  </si>
  <si>
    <t>Cuando se realice la cancelación de una recepción activar el botón de editar para que el usuario pueda cambiar el estatus a 0 - Disponible</t>
  </si>
  <si>
    <t>En el detalle de la recepción en el grid en la columna Tipo colocar la descripción del documento si es I = Factura, E = Nota Créditop y P = Complemento
Utilizar el catálogo CatTipoDocumento para obtener la descripción</t>
  </si>
  <si>
    <t>En el listbox de los proveedores en la pantalla de rebates presentar solo los proveedores que se encuentren activos por tipo de proveedor en el catágogo CatTipoProveedorRebate
en caso de no estar activo el proveedor no presentar al proveedor</t>
  </si>
  <si>
    <t>Continua el incidente, se visualizan a los proveedores de transporte</t>
  </si>
  <si>
    <t>En la pantalla Nota Crédito agregar un listbox a un lado del estatus y entre la fecha desde del tipo de Nota de crédito para filtrar la información por tipo</t>
  </si>
  <si>
    <t>Permitir agregar una NC con o sin factura solo para los descuentos comerciales</t>
  </si>
  <si>
    <t>Cuando una NC tiene una factura relacionada en pantalla no presenta el uuid relacionado de la factura y el servicio en el nodo UuidRelacionados esta en null</t>
  </si>
  <si>
    <t>Ajustar API para consultar las Nota Crédito por "Tipo de Nota de Crédito" agregar un listbox a un lado del estatus y entre la fecha desde del tipo de Nota de crédito para filtrar la información por tipo</t>
  </si>
  <si>
    <t>En la captura del uuid de un documento fiscal validar que cumpla con la estructura para evitar errores internos</t>
  </si>
  <si>
    <t>Ajustar el documento pdf que se genera cuando un proveedor no sube su 
nota de credito, en el elemento Folio Fiscal Relacionado, no esta tomando el valor del elemento  CfdiRelacionado  -&gt; UUID</t>
  </si>
  <si>
    <t>El mensaje cuando se captura un uuid invalido duplica la palabra, cambiar al siguiente mensaje
WRN7035 - El UUID proporcionado es válido, favor de valida la estructura.</t>
  </si>
  <si>
    <t>El mensaje cuando se captura un uuid invalido duplica la palabra, cambiar al siguiente mensaje
WRN7035 - El UUID proporcionado no es válido, favor de revisar estructura.</t>
  </si>
  <si>
    <t>En la pantalla de descuentos comerciales para agregar la NC agregar el RFC del proveedor antes del Número de Proveedor</t>
  </si>
  <si>
    <t>Agregar en la pantalla de registro de documento xml</t>
  </si>
  <si>
    <t>Para agregar la NC del descuento comerciales validar que el RFC de la NC y el descuento comercial sea el mismo de lo contrario rechazar la carga y dejar inactivo el botón de "Guardar"
El RFC del proveedor no coincide con el descuento comercial. Por favor, valida el archivo XML.</t>
  </si>
  <si>
    <t>Cuando se agrega una NC y tiene una factura relacionada al momento de dar click en ver factura la pantalla se muestra en blanco</t>
  </si>
  <si>
    <t>El estatus de consumida no debe activar el botón de editar, debe estar inactivo</t>
  </si>
  <si>
    <t>[Funcional][Finanzas] Tarjeta muestra aplicativos no asignados al perfil del usuario</t>
  </si>
  <si>
    <t>Validar con todos los perfiles que tengan asignaciones de aplicativos del módulo de Finanzas</t>
  </si>
  <si>
    <t>Cambiar el estatus del descuento comercial cuando se relacione una nota de credito de manera correcta, del estatus 1 a 2 NC Relacionada</t>
  </si>
  <si>
    <t>Continua sin cambiar el estatus (Finanzas)</t>
  </si>
  <si>
    <t>Cuando se relacionada un descuento comercial en la pantalla de publicación al momento de dar click en regresar retorna a la pantalla de NC, lo cual confunde al usuario</t>
  </si>
  <si>
    <t>Retorna a la pantalla de descuentos comerciales pero se pierde el filtro de busqueda</t>
  </si>
  <si>
    <t>El valor de la tolerancia del monto del descuento comercial vs nota de credito no esta validando el monto de tolerancia de las NC</t>
  </si>
  <si>
    <t>Continua sin validar la tolerancia</t>
  </si>
  <si>
    <t>En la consulta solo presentar a los proveedores de tipo "Logistico", el grid se presentan a proveedores indirectos</t>
  </si>
  <si>
    <t>Revisión en la consulta del grid</t>
  </si>
  <si>
    <t>Cuando un proveedor no existe y se publica una orden de compra la pantalla envia un mensaje de éxito,
 Se espera visualizar un mensaje de alerta indicando que no existe publicado el proveedor que intenta dar de alta la orden de compra</t>
  </si>
  <si>
    <t>Conexión de los pagos con la interfase i213 a Portal de FBC</t>
  </si>
  <si>
    <t>Ajustar el grid de consulta de las recepciones ajustar el diseño de las opciones colocando un botón de acción para desplagar en un tooltip las opciones que tiene asignado cada usuario.</t>
  </si>
  <si>
    <t>Ajustar el grid de consulta de las guias de embarque ajustar el diseño de las opciones colocando un botón de acción para desplagar en un tooltip las opciones que tiene asignado cada usuario.</t>
  </si>
  <si>
    <t>Ajustar el grid de consulta de descuentos comerciales ajustar el diseño de las opciones colocando un botón de acción para desplagar en un tooltip las opciones que tiene asignado cada usuario.</t>
  </si>
  <si>
    <t>Ajustar el grid de consulta de pagos ajustar el diseño de las opciones colocando un botón de acción para desplagar en un tooltip las opciones que tiene asignado cada usuario.</t>
  </si>
  <si>
    <t>Ajustar el grid de consulta de facturas ajustar el diseño de las opciones colocando un botón de acción para desplagar en un tooltip las opciones que tiene asignado cada usuario.</t>
  </si>
  <si>
    <t>Ajustar el grid de consulta de notas de crédito ajustar el diseño de las opciones colocando un botón de acción para desplagar en un tooltip las opciones que tiene asignado cada usuario.</t>
  </si>
  <si>
    <t>Ajustar el grid de consulta de Complemento de pago ajustar el diseño de las opciones colocando un botón de acción para desplagar en un tooltip las opciones que tiene asignado cada usuario.</t>
  </si>
  <si>
    <t>Ajustar la pantalla de publicación de facturas, cuando el monto de la factura sea menor al valor de la recepción mostrar
 el mensaje al monto de subir el XML y dejar en un tooltip en color amarillo el mismo mensaje presentado en la modal.</t>
  </si>
  <si>
    <t>Cuando se presiona el botón de limpiar quita las fecha del calendario, cuando se presione el botón de limpiar dejar el día actual</t>
  </si>
  <si>
    <t>Cuando se realiza una busqueda por Referencia de Pago mandar un error "pageSize: Too big: expected number to be &lt;=200"</t>
  </si>
  <si>
    <t>Cuando se realiza una busqueda por "Tipo Proveedor" mandar un error "pageSize: Too big: expected number to be &lt;=200"</t>
  </si>
  <si>
    <t>En el reporte en excel no presenta el nombre del proveedor en la pantalla principal de pagos</t>
  </si>
  <si>
    <t>Continua el incidente</t>
  </si>
  <si>
    <t>En la pantalla detalle del pago no presenta el nombre del proveedor</t>
  </si>
  <si>
    <t>Agregar el uuid del documento en el grid del detalle del pago a un lado de la columna Número Documento y quitar la columna estatus aplicarlo tambien en el reporte Excel</t>
  </si>
  <si>
    <t xml:space="preserve">Ajustar el acomodo y nombre de las columnas en el detalle del pago
Número Documento	
UUID	
Moneda	
Importe	
Tipo Documento	
Referencia Pago	
Fecha Pago	
Fecha Registro	
Fecha de Actualización	
Factura / NC
</t>
  </si>
  <si>
    <t>Ordener el detalle de los pagos presentando primero las facturas y despues las notas de credito mostrando los montos mayor a menor</t>
  </si>
  <si>
    <t>Redireccionar el documento fiscal para presentar la factura o nota de credito dependiendo el documento</t>
  </si>
  <si>
    <t>Ajustar el diseño de la pantalla de complemento de pago dejando el estandar que se tiene en la publicación de la factura, considerando la cabecera distribución de los campos de load y
datos precargados del documento</t>
  </si>
  <si>
    <t>X</t>
  </si>
  <si>
    <t>Agregar el botón secundaria de limpiar en la parte superior</t>
  </si>
  <si>
    <t>Agregar el botón primario para publicar el complemento en la parte superior</t>
  </si>
  <si>
    <r>
      <t xml:space="preserve">Ajustar el reporte del detalle de pagos agregando nuevas columnas y acomodo en la información conforme al listado:
</t>
    </r>
    <r>
      <rPr>
        <sz val="11"/>
        <color rgb="FFFF0000"/>
        <rFont val="Calibri"/>
        <family val="2"/>
        <scheme val="minor"/>
      </rPr>
      <t xml:space="preserve">Número Proveedor
</t>
    </r>
    <r>
      <rPr>
        <sz val="11"/>
        <color theme="1"/>
        <rFont val="Calibri"/>
        <family val="2"/>
        <scheme val="minor"/>
      </rPr>
      <t xml:space="preserve">Nombre Proveedor
</t>
    </r>
    <r>
      <rPr>
        <sz val="11"/>
        <color rgb="FFFF0000"/>
        <rFont val="Calibri"/>
        <family val="2"/>
        <scheme val="minor"/>
      </rPr>
      <t>Referencia Pago</t>
    </r>
    <r>
      <rPr>
        <sz val="11"/>
        <color theme="1"/>
        <rFont val="Calibri"/>
        <family val="2"/>
        <scheme val="minor"/>
      </rPr>
      <t xml:space="preserve">	
Número Documento	
Documento SAP
UUID	
Moneda	
Importe	
Tipo Documento	
Fecha Pago	
Fecha Registro	
Fecha de Actualización	
Factura / NC</t>
    </r>
  </si>
  <si>
    <t>En el grid del detalle del pago quitar la columna Referencia Pago, actualmente el valor esta presenta en la cabecera para evitar tener redundancia de información</t>
  </si>
  <si>
    <t>Ajustar el orden de las columnas en la pantalla principal de pagos conforme al siguiente listado
Referencia Pago	
Año Pago	
Fecha Pago	
Importe	
Moneda	
Tipo Proveedor	
Número Proveedor	
Nombre Proveedor	
Fecha Registro	
Fecha Actualización	
Estatus	
Acción</t>
  </si>
  <si>
    <r>
      <t xml:space="preserve">Ajustar los elementos en los campos precargados del complemento de pago
RFC Emisor:
Nombre Emisor
</t>
    </r>
    <r>
      <rPr>
        <sz val="11"/>
        <color rgb="FFFF0000"/>
        <rFont val="Calibri"/>
        <family val="2"/>
        <scheme val="minor"/>
      </rPr>
      <t xml:space="preserve">Serie
Folio
</t>
    </r>
    <r>
      <rPr>
        <sz val="11"/>
        <color theme="1"/>
        <rFont val="Calibri"/>
        <family val="2"/>
        <scheme val="minor"/>
      </rPr>
      <t xml:space="preserve">UUID:	
Monto:	
</t>
    </r>
    <r>
      <rPr>
        <sz val="11"/>
        <color rgb="FFFF0000"/>
        <rFont val="Calibri"/>
        <family val="2"/>
        <scheme val="minor"/>
      </rPr>
      <t>TipoComprobante:
FormaDePagoP
FechaPago</t>
    </r>
    <r>
      <rPr>
        <sz val="11"/>
        <color theme="1"/>
        <rFont val="Calibri"/>
        <family val="2"/>
        <scheme val="minor"/>
      </rPr>
      <t xml:space="preserve">
Fecha de timbrado:</t>
    </r>
  </si>
  <si>
    <t>Los botones alinearlos a la derecha en la parte superior y colocar el color del estatus que le corresponde al pago</t>
  </si>
  <si>
    <t>Continuan los botones a la izquierda, revisar el botón de publicar para conocer su funcionalidad de lo contrario se quitaria</t>
  </si>
  <si>
    <t>Ajustar el servicio de registro de factura tomar el valor del id del proveedor que tiene el portal, actualmente tomo el valor de la Addenda la cual ya no sera ocupada posteriormente</t>
  </si>
  <si>
    <t>En la pantalla de facturación cuando el estatus de la factura tenga el valor 11 - Pendiente de Pago el botón de reprocesar debe estar apagado y el botón de ver nota de credito debe estar activo</t>
  </si>
  <si>
    <t xml:space="preserve">Cuando se ejecute el proceso de pagos revisar factura y nota de credito una por una y cambiar el estatus del documento fiscal al siguiente valor
Factura
12 - Pendiente de Pago
Nota Crédito
9 - Pendiente de complemento
</t>
  </si>
  <si>
    <t>En la pantalla del detalle del pago el uuid del documento fiscal que se esta presentando es el valor interno se espera visualizar el valor de la factura para vincular el registro</t>
  </si>
  <si>
    <t>Maneja el uuid interno, el valor que se debe presentar en pantalla es el uuid fiscal</t>
  </si>
  <si>
    <t>Cuando se publica el pago los valores de Referencia de Pago se esta colocando el valor del documento o factura a nivel de cabecera</t>
  </si>
  <si>
    <t>Ajustar el servicio de pagos colocando la referencia de pago en la parte superior o cabecera</t>
  </si>
  <si>
    <t xml:space="preserve">Una vez ajustado el servicio acomodar las referencias de los campos en la pantalla de pagos colocanddo la siguiente información
Pantalla principal de pagos
Referencia de pago -&gt; Colocar el nuevo campo de referencia de pago
Detalle
Número Documento -&gt;   details -&gt; A263"documentNumber":
Agregar el campo "Documento" -&gt; details -&gt; sapDocument (Colocar el campo a un lado del Número Documento)
Referencia Pago -&gt;  details -&gt;documentReference
</t>
  </si>
  <si>
    <t>No presenta el valor de documentoSAP en el grid</t>
  </si>
  <si>
    <t>Cuando se suba una factura que tiene relacionada una recepcion de proveedores de transporte cambiar el estatus de la recepción a "Consumida" (Flujo actualmente implementado correctamente), adicional al punto revisar las guias de embarque tiene tiene relacionadas las recepcion y cambiar su estatus a "3 - Por Contabilizar"</t>
  </si>
  <si>
    <t>Error al intentar publicar el complemento de pago, marca error de SQL</t>
  </si>
  <si>
    <t>Cuando se registra una nota de credito de tipo descuento comercial el estatus que se debe registrar en la NC es 8 - ContabilizADA</t>
  </si>
  <si>
    <t>En la pantalla de recepción en en grid principal quitar las columnas Guía, Sucursal, Documento y mandar estos datos en la pantalla de detalle en la parte superior o header de la recepción a un lado del Nombre Proveedor</t>
  </si>
  <si>
    <t>Quitar la columna Placa Remolque en el grid principal de guías de embarque</t>
  </si>
  <si>
    <t>En la pantalla de descuento comercial quitar la columna Referencia y Fecha Actualización mandarlo a la pantalla de detalle de rebates a un Número de Proveedor, Nombre Proveedor</t>
  </si>
  <si>
    <t>En la pantalla de pagos quitar la columna Fecha Pago y Fecha de Actualización, enviarlo a la pantalla de detalle a un lado de la columna Fecha Registro las dos columnas</t>
  </si>
  <si>
    <t>Agregar en la pantalla y reporte de Three way match el estatus en que se encuentra la OC y Recepción</t>
  </si>
  <si>
    <t>Ajustar el grid de consulta en el complemento de pago quitando la Fecha Emisión y Fecha de Pago, agregando la columna de Fecha Registro, permitiendo aplicar el filtro por esta fecha</t>
  </si>
  <si>
    <t>Agregar la columna subtotal antes de la columna Total</t>
  </si>
  <si>
    <t>Modificar el reporte de complemento de pago,respetando las columnas que existen y agregar la columna Subtotal  (Antes de la columna Pago) y Fecha Registro (Despues de la Fecha Pago)</t>
  </si>
  <si>
    <t xml:space="preserve">En la pantalla detalle del complemento agregar los datos cabecera del complemento respetando el mismo que se maneja en el aplicativo
Serie	
Folio	
UUID	
SubTotal
Total	
Fecha de Emisión	
RFC Emisor	
Nombre Emisor
	Fecha de Pago	
Fecha Registro
Facturas Relacionadas	Estatus	</t>
  </si>
  <si>
    <t>Error al intentar descargar el reporte PDF</t>
  </si>
  <si>
    <t>Continua con el error</t>
  </si>
  <si>
    <t>Los filtros de busqueda no estan operando para la consulta del complemento de pago</t>
  </si>
  <si>
    <t>Ajustar el reporte del detalle del complemento agregando la columnas cabecera Serie, Folio, UUID, Subtotal y Total</t>
  </si>
  <si>
    <t>En el detalle el valor uuid de la factura no corresponde con el valor fiscal, presenta el valor interno</t>
  </si>
  <si>
    <t>En el detalle no permite visualizar o descargar el pdf de la factura y nota de credito</t>
  </si>
  <si>
    <t>En el detalle no permite visualizar o descargar el xml de la factura y nota de credito</t>
  </si>
  <si>
    <t>Continua con error</t>
  </si>
  <si>
    <t>Cuando se intenta generar un reproceso contable marca error indicando que no existe el uuid de la factura, estatus de la factura "Rechazo Contable"</t>
  </si>
  <si>
    <t>Depende de la configuración del tren de estatus</t>
  </si>
  <si>
    <t>Cuando el estatus de la factura tiene los siguientes estatus  
Error envió DMS
Error envió i213
Error envió SAPITO
Error en Contabilización
Error en desglose contable
 Activar el botón de "Reproceso contable"</t>
  </si>
  <si>
    <t>En front ya está pero hay que actualizar los trenes de estatus porque marca error: ejemplo BUS051: La transición de estatus no está permitida: De: 16 (Error envío DMS) a: 3 (Recibida)</t>
  </si>
  <si>
    <t>Agregar en el grid de consulta la columan del tipo de proveedor</t>
  </si>
  <si>
    <t>Agregar en el grid el el tipo de proveedor</t>
  </si>
  <si>
    <t>Cuando se presiona el botón de reproceso contable en una factura marca error de conversión de estatus
Error envió DMS
Error envió i213
Error envió SAPITO
Error en Contabilización
Error en desglose contable</t>
  </si>
  <si>
    <t>[UI/UX][Global: Colores] Componentes de UI utilizan color #0066CC en lugar del oficial FBC BLUE (Primary) #002D4C en múltiples pantallas de Catálogos</t>
  </si>
  <si>
    <t>[UI/UX][Global: Exportar como] El ComboBox "Exportar como" no está descompuesto en botones secundarios independientes en múltiples pantallas</t>
  </si>
  <si>
    <t>[UI/UX][Catálogos - Conversiones] El breadcrumb resalta incorrectamente el enlace intermedio "Elementos" como si fuera la ubicación actual</t>
  </si>
  <si>
    <t>[Bug][Catálogos - Conversiones] El enlace "Elementos" del breadcrumb no redirige a la pantalla correspondiente al dar clic</t>
  </si>
  <si>
    <t>[UI/UX][Catálogos - Conversiones] Los iconos de acción "Editar" y "Borrar" no corresponden al FBC Design System</t>
  </si>
  <si>
    <t>[UI/UX][Catálogos - Conversiones] Los componentes de título, tarjeta y botones no siguen el layout estándar del FBC Design System</t>
  </si>
  <si>
    <t>[Funcional][Catálogos - Conversiones] El grid no valida el estado vacío por default ni al dar clic en "Limpiar"</t>
  </si>
  <si>
    <t>[UI/UX][Global: Modal de Confirmación] El diseño de los mensajes de confirmación no corresponde al FBC Design System en Conversiones</t>
  </si>
  <si>
    <t>Agregar el evento de reproceso de notas de crédito en el grid de consulta del documento considerando las reglas de seguridad</t>
  </si>
  <si>
    <t>[Funcional][Control de Acceso - Rol Atributo] Implementar gestión y asignación de atributos por rol en sustitución de la administración por usuario</t>
  </si>
  <si>
    <t>Después de dar clic en "Guardar", el sistema muestra el mensaje "Procesando información..." de forma indefinida y mantiene bloqueada la interacción con la pantalla.</t>
  </si>
  <si>
    <t>Al realizar una Exportación CSV de una consulta de Descuentos comerciales Excel muestra columna *Fecha Aplicación* la cual no se muestra en la consulta.</t>
  </si>
  <si>
    <t>Al realizar una Exportación CSV de una consulta de Recepciones Excel muestra columna *Guía* la cual no se muestra en la consulta y el orden de las columnas no es el mismo.</t>
  </si>
  <si>
    <t>Al realizar una Exportación CSV de una consulta de Pagos Excel muestra columnas *Fecha Pago* y *Fecha Actualización* las cual no se muestran en la consulta y el orden de las columnas no es el mismo.</t>
  </si>
  <si>
    <t>Al seleccionar agregar complemento de pago de un Pago, se nos direcciona a Inicio &gt; Finanzas &gt; Recepciones, mostrando pantalla limpia, se espera retornar a la pantalla de pagos</t>
  </si>
  <si>
    <t xml:space="preserve">11/09/2026 retorna a la pantalla de pagos pero borra el filtro de busqueda con el que inicia la relación del complemento de pago.
14/09/26-QA.
Continua presentandose nos direcciona a: Bienvenido, PORCELANITE PORCELANITE,siguen pendiente
</t>
  </si>
  <si>
    <t>En Inicio &gt; Finanzas &gt; Estado de Cuenta al buscar año 2025, todos los meses, muestra mensaje Error, cambiar el icono indicando una alerta ya que es un mensaje de negocio</t>
  </si>
  <si>
    <t>07/09/26 Continua presentando se el mensaje: 
Error
Selecciona un año válido del listado para consultar el estado de cuenta.
14/09/26-QA
Se encuentra corregido, se muestra mensaje: 
Atención
No se encontraron estados de cuenta con los criterios establecidos.</t>
  </si>
  <si>
    <t>Al Exportar CSV  en Inicio &gt; Finanzas &gt; Publicación de recepción MIGO no coincide información exportada con consulta.</t>
  </si>
  <si>
    <t>MIGO</t>
  </si>
  <si>
    <t>07/09/26 Validado por QA, corregido.</t>
  </si>
  <si>
    <t>Al Exportar CSV en Inicio &gt; Finanzas &gt; Guías de Embarque descarga muestra columna *Placa Remolque* la cual no se ve en la consulta.</t>
  </si>
  <si>
    <t>Guias de Embarque</t>
  </si>
  <si>
    <t>Al Exportar Excel en Inicio &gt; Finanzas &gt; Guías de Embarque descarga muestra columna *Placa Remolque* la cual no se ve en la consulta.</t>
  </si>
  <si>
    <t>Agregar en el reporte Three way match la columna subtotal de la factura en medio de la columna UUID y Monto Factura, la columna presentarlo en el reporte y pantalla</t>
  </si>
  <si>
    <t>07/09/26  
Aun se presenta el reporte sin la columna Subtotal, en reporte CSV.
Reporte Excel muestra columna Subtotal, pero no en medio de la columna UUID y Monto Factura.
En grid muestra columna Subtotal, pero no en medio de la columna UUID y Monto Factura.</t>
  </si>
  <si>
    <t>Al intentar cancelar una recepción, al momento de dar guardar se muestra mensaje: Las fechas de recepción son obligatorias cuando no se realiza la búsqueda por UUID. (1/09/26)</t>
  </si>
  <si>
    <t>07/09/26 Validado por QA, correguido.</t>
  </si>
  <si>
    <t>Al exportar de Inicio&gt;Finanzas&gt;Three Way Match a CSV, el CSV muestra columna de Subtotal Factura la cual no se muestra en el Grid. (1/09/26)</t>
  </si>
  <si>
    <t>El valor del subtotal es igual al valor de la factura</t>
  </si>
  <si>
    <t>El filtro por recepción no esta funcionando, retorna información que no corresponde con la recepción o existe alguna coincidencia</t>
  </si>
  <si>
    <t>07/09/26
Al realizar busqueda filtrando por Recepción, muestra información solicitada y mas registros.</t>
  </si>
  <si>
    <t>Ajustar el nombre del reporte de la nota de crédito con el siguiente valor nota_credito_yyyymmdd_hh24.mi.ss.csv</t>
  </si>
  <si>
    <t>07/09/26
No se guarda de acuerdo a lo comentado, se esta guardando de la siguiente manera:
notas-de-crdito-07092026-1229-07-09-2026-12-29</t>
  </si>
  <si>
    <t xml:space="preserve">Agregar una opción mas en el listado de eventos de la pantalla de facturación, con el nombre de Ver Contabilidad cuando se de click mostrar una nueva pantalla con la siguiente información
Mostar una cabecera con los datos principales de la factura
Serie, Folio, UUID, Subtotal, OC, Recepcion,Número de Proveedor, Nombre Proveedor, Estado
En el detalle mostrar la siguiente información
Número de documento
Documento SAP
Mensaje SAP
Fecha Contable
El botón esta activo conforme al estatus en que se encuentre la factura, revisar el documento Tren_Estatus_FBC para ver en que momento se activa el botón
</t>
  </si>
  <si>
    <t>07/09/26
Aun sin solución.</t>
  </si>
  <si>
    <t xml:space="preserve">Agregar una opción mas en el listado de eventos de la pantalla de Notas de crédito con el nombre de Ver Contabilidad cuando se de click mostrar una nueva pantalla con la siguiente información
Mostar una cabecera con los datos principales de la factura
Serie, Folio, UUID, Subtotal, OC, Recepcion,Número de Proveedor, Nombre Proveedor, Estado
En el detalle mostrar la siguiente información
Número de documento
Documento SAP
Mensaje SAP
Fecha Contable
El botón esta activo conforme al estatus en que se encuentre la factura, revisar el documento Tren_Estatus_FBC para ver en que momento se activa el botón
</t>
  </si>
  <si>
    <t>[Bug][Catálogos] Al intentar realizar carga de elementos mediante CSV en "Nuevo Catálogo" o "Importar Elementos" el sistema manda error</t>
  </si>
  <si>
    <t>En la pantalla del detalle del descuento comercial agregar un grid con el detalle de la NC que tenga relacionada considerando los siguientes datos
UUID
Fecha Registro	
Importe	
Serie	
Folio	
Acción (Botón para llevar a visualizar la NC relacionada)</t>
  </si>
  <si>
    <t xml:space="preserve">
En la pantalla del detalle del descuento comercial agregar un grid abajo del grid de la relación de la nota de crédito con el listado de las Ordenes de compra que conforman el descuento comercial con los siguientes datos.
</t>
  </si>
  <si>
    <t>07/09/26
Aun sin solución.
Se muestra mensaje: No fue posible consultar la nota de crédito relacionada. Vuelve a abrir el detalle.</t>
  </si>
  <si>
    <t>Cuando se cancela la NC se realiza de manera exitosa pero en el grid no se actualiza en automatico para ver el cambio de estatus</t>
  </si>
  <si>
    <t>07/09/26
Validado por QA, corregido.</t>
  </si>
  <si>
    <t xml:space="preserve">Cuando se cancela una NC el cambio de estatus se realiza de manera correcta pero falta un flujo por implementar, 
Cambiar el estatus de la factura a la que esta relacionada a recibido parcial, al igual todas las notas de credito que tenga relacionadas cambiarlas a recibido parcial.
</t>
  </si>
  <si>
    <t>Ya aparece el listado desplegable por atributo, solo falta validar que se despliegue para los atributos 'Empresa', 'Grupo Proveedor' y 'Tipo Rebate', además de ajustar temas UX/UI. Adicionalmente se valida filtrado de data probando con el atributo "Tipo Proveedor = Transporte" pero sigue sin funcionar.</t>
  </si>
  <si>
    <t>Aun no permite actualizar al modificar datos de los elementos del catálogo "Permiso", es necesario para aplicar la actualización de permisos de acuerdo a la matriz.</t>
  </si>
  <si>
    <t>El parámetro para hacer obligatorio u opcional la publicación del PDF en un complemento de pago no esta operando</t>
  </si>
  <si>
    <t>Cuando se publica el complemento de pago marca error de timeout registrando el complemento pero sin cambio de estatus de la factura, pagos y nota de credito que tenga relacionadas, revisar el documento Excel para la conversión de estatus</t>
  </si>
  <si>
    <t>Ajustar el nombre del reporte facturación con el siguiente valor factura_yyyymmdd_hh24.mi.ss.csv</t>
  </si>
  <si>
    <t>07/09/26
Validado por QA, correguido, se guarda de la siguiente manera: facturas-07092026-1433-07-09-2026-14-33</t>
  </si>
  <si>
    <t>El estado de cuenta esta considerando recepciones, facturas y notas de credito canceladas estos documentos no se deben presentar en el estado de cuenta</t>
  </si>
  <si>
    <t>Continua presentando la orden de compra cancelada en el estado de cuenta</t>
  </si>
  <si>
    <t>Agregar la columna del tipo de recepción, revisar la historia de usuario https://falabella.atlassian.net/browse/STM-1527</t>
  </si>
  <si>
    <t>14/09/26-QA
Aún no se ve la columna.
18/09/26
Corregido, ya se muestra la columna.</t>
  </si>
  <si>
    <t>Agregar la columna del tipo de recepción, revisar la historia de usuario https://falabella.atlassian.net/browse/STM-1528</t>
  </si>
  <si>
    <t>Agregar la columna del tipo de recepción, revisar la historia de usuario https://falabella.atlassian.net/browse/STM-1526</t>
  </si>
  <si>
    <t>[Validación][Catálogos: Nuevo Catálogo / Importar Elementos] El mensaje de error no indica el número de la fila vacía después de validación de layout de elementos</t>
  </si>
  <si>
    <t>El mensaje de error ya específica el número de la fila vacía dentro del layout, tanto para "Nuevo Catálogo" como para "Importar Elementos".</t>
  </si>
  <si>
    <t>Con en Usuario: zedlav.sd87@gmail.com al cambiar de institución o País, se siguen mostrando las tarjetas de México</t>
  </si>
  <si>
    <t>Quitar la columna de estatus de OC en la pantalla y reporte del three way match, adicional el estatus de la recepción no coincide con el catálogo de estatus de recepción CatEstatusRecepcion</t>
  </si>
  <si>
    <t>Cuando se cancela una NC en la relación de la factura aun la sigue considerando en la sumatoria de la relación, toda NC cancelada no debe ser considerada</t>
  </si>
  <si>
    <t>En la pantalla detalle de los acuerdos comerciales el nombre del proveedor no se presenta, muestra un valor ND</t>
  </si>
  <si>
    <t>Cuando se intenta cargar un complemento de pago marca error 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</si>
</sst>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5">
    <font>
      <sz val="11"/>
      <color theme="1"/>
      <name val="Calibri"/>
      <family val="2"/>
      <scheme val="minor"/>
    </font>
    <font>
      <b/>
      <sz val="16"/>
      <color rgb="FFFFFFFF"/>
      <name val="Arial"/>
      <family val="2"/>
    </font>
    <font>
      <b/>
      <sz val="10"/>
      <color rgb="FFFFFFFF"/>
      <name val="Arial"/>
      <family val="2"/>
    </font>
    <font>
      <sz val="10"/>
      <color rgb="FF000000"/>
      <name val="Arial"/>
      <family val="2"/>
    </font>
    <font>
      <b/>
      <sz val="10"/>
      <color rgb="FF276221"/>
      <name val="Arial"/>
      <family val="2"/>
    </font>
    <font>
      <b/>
      <sz val="10"/>
      <color rgb="FF9C5700"/>
      <name val="Arial"/>
      <family val="2"/>
    </font>
    <font>
      <b/>
      <sz val="10"/>
      <color rgb="FF9C0006"/>
      <name val="Arial"/>
      <family val="2"/>
    </font>
    <font>
      <b/>
      <sz val="10"/>
      <color rgb="FF404040"/>
      <name val="Arial"/>
      <family val="2"/>
    </font>
    <font>
      <b/>
      <sz val="11"/>
      <color rgb="FFFFFFFF"/>
      <name val="Arial"/>
      <family val="2"/>
    </font>
    <font>
      <b/>
      <sz val="9"/>
      <color rgb="FF4472C4"/>
      <name val="Arial"/>
      <family val="2"/>
    </font>
    <font>
      <b/>
      <sz val="20"/>
      <color rgb="FF4472C4"/>
      <name val="Arial"/>
      <family val="2"/>
    </font>
    <font>
      <b/>
      <sz val="9"/>
      <color rgb="FF276221"/>
      <name val="Arial"/>
      <family val="2"/>
    </font>
    <font>
      <b/>
      <sz val="20"/>
      <color rgb="FF276221"/>
      <name val="Arial"/>
      <family val="2"/>
    </font>
    <font>
      <b/>
      <sz val="9"/>
      <color rgb="FF9C0006"/>
      <name val="Arial"/>
      <family val="2"/>
    </font>
    <font>
      <b/>
      <sz val="20"/>
      <color rgb="FF9C0006"/>
      <name val="Arial"/>
      <family val="2"/>
    </font>
    <font>
      <b/>
      <sz val="9"/>
      <color rgb="FF9C5700"/>
      <name val="Arial"/>
      <family val="2"/>
    </font>
    <font>
      <b/>
      <sz val="20"/>
      <color rgb="FF9C5700"/>
      <name val="Arial"/>
      <family val="2"/>
    </font>
    <font>
      <b/>
      <sz val="9"/>
      <color rgb="FF1F3864"/>
      <name val="Arial"/>
      <family val="2"/>
    </font>
    <font>
      <b/>
      <sz val="20"/>
      <color rgb="FF1F3864"/>
      <name val="Arial"/>
      <family val="2"/>
    </font>
    <font>
      <b/>
      <sz val="9"/>
      <color rgb="FF404040"/>
      <name val="Arial"/>
      <family val="2"/>
    </font>
    <font>
      <b/>
      <sz val="20"/>
      <color rgb="FF404040"/>
      <name val="Arial"/>
      <family val="2"/>
    </font>
    <font>
      <b/>
      <sz val="9"/>
      <color rgb="FF7030A0"/>
      <name val="Arial"/>
      <family val="2"/>
    </font>
    <font>
      <b/>
      <sz val="20"/>
      <color rgb="FF7030A0"/>
      <name val="Arial"/>
      <family val="2"/>
    </font>
    <font>
      <b/>
      <sz val="11"/>
      <color rgb="FF276221"/>
      <name val="Courier New"/>
      <family val="3"/>
    </font>
    <font>
      <b/>
      <sz val="11"/>
      <color rgb="FF276221"/>
      <name val="Arial"/>
      <family val="2"/>
    </font>
    <font>
      <sz val="10"/>
      <color rgb="FF276221"/>
      <name val="Arial"/>
      <family val="2"/>
    </font>
    <font>
      <sz val="10"/>
      <color rgb="FF276221"/>
      <name val="Courier New"/>
      <family val="3"/>
    </font>
    <font>
      <b/>
      <sz val="11"/>
      <color rgb="FF9C0006"/>
      <name val="Arial"/>
      <family val="2"/>
    </font>
    <font>
      <sz val="10"/>
      <color rgb="FF9C0006"/>
      <name val="Arial"/>
      <family val="2"/>
    </font>
    <font>
      <sz val="10"/>
      <color rgb="FF9C0006"/>
      <name val="Courier New"/>
      <family val="3"/>
    </font>
    <font>
      <b/>
      <sz val="11"/>
      <color rgb="FF9C5700"/>
      <name val="Arial"/>
      <family val="2"/>
    </font>
    <font>
      <sz val="10"/>
      <color rgb="FF9C5700"/>
      <name val="Arial"/>
      <family val="2"/>
    </font>
    <font>
      <sz val="10"/>
      <color rgb="FF9C5700"/>
      <name val="Courier New"/>
      <family val="3"/>
    </font>
    <font>
      <b/>
      <sz val="10"/>
      <color rgb="FF1F3864"/>
      <name val="Arial"/>
      <family val="2"/>
    </font>
    <font>
      <b/>
      <sz val="11"/>
      <color rgb="FF1F3864"/>
      <name val="Arial"/>
      <family val="2"/>
    </font>
    <font>
      <sz val="10"/>
      <color rgb="FF1F3864"/>
      <name val="Arial"/>
      <family val="2"/>
    </font>
    <font>
      <sz val="10"/>
      <color rgb="FF1F3864"/>
      <name val="Courier New"/>
      <family val="3"/>
    </font>
    <font>
      <b/>
      <sz val="11"/>
      <color rgb="FF404040"/>
      <name val="Arial"/>
      <family val="2"/>
    </font>
    <font>
      <sz val="10"/>
      <color rgb="FF404040"/>
      <name val="Arial"/>
      <family val="2"/>
    </font>
    <font>
      <sz val="10"/>
      <color rgb="FF404040"/>
      <name val="Courier New"/>
      <family val="3"/>
    </font>
    <font>
      <b/>
      <sz val="10"/>
      <color rgb="FF000000"/>
      <name val="Arial"/>
      <family val="2"/>
    </font>
    <font>
      <sz val="10"/>
      <color rgb="FFFFFFFF"/>
      <name val="Arial"/>
      <family val="2"/>
    </font>
    <font>
      <b/>
      <sz val="12"/>
      <color rgb="FF9C0006"/>
      <name val="Arial"/>
      <family val="2"/>
    </font>
    <font>
      <b/>
      <sz val="14"/>
      <color rgb="FF9C0006"/>
      <name val="Arial"/>
      <family val="2"/>
    </font>
    <font>
      <i/>
      <sz val="9"/>
      <color rgb="FF595959"/>
      <name val="Arial"/>
      <family val="2"/>
    </font>
    <font>
      <b/>
      <sz val="14"/>
      <color rgb="FFFFFFFF"/>
      <name val="Arial"/>
      <family val="2"/>
    </font>
    <font>
      <sz val="11"/>
      <color theme="0"/>
      <name val="Calibri"/>
      <family val="2"/>
      <scheme val="minor"/>
    </font>
    <font>
      <sz val="8"/>
      <name val="Calibri"/>
      <family val="2"/>
      <scheme val="minor"/>
    </font>
    <font>
      <b/>
      <sz val="10"/>
      <color rgb="FFFFFFFF"/>
      <name val="Verdana"/>
      <family val="2"/>
    </font>
    <font>
      <b/>
      <sz val="10"/>
      <color rgb="FF276221"/>
      <name val="Verdana"/>
      <family val="2"/>
    </font>
    <font>
      <sz val="10"/>
      <color rgb="FF000000"/>
      <name val="Verdana"/>
      <family val="2"/>
    </font>
    <font>
      <sz val="10"/>
      <color theme="1"/>
      <name val="Verdana"/>
      <family val="2"/>
    </font>
    <font>
      <sz val="10"/>
      <color rgb="FFFFFFFF"/>
      <name val="Verdana"/>
      <family val="2"/>
    </font>
    <font>
      <u/>
      <sz val="11"/>
      <color theme="10"/>
      <name val="Calibri"/>
      <family val="2"/>
      <scheme val="minor"/>
    </font>
    <font>
      <sz val="12"/>
      <color theme="1"/>
      <name val="Aptos"/>
      <family val="2"/>
    </font>
    <font>
      <sz val="11"/>
      <color theme="1"/>
      <name val="Segoe UI"/>
      <family val="2"/>
    </font>
    <font>
      <sz val="11"/>
      <color rgb="FF000000"/>
      <name val="Calibri"/>
      <family val="2"/>
      <scheme val="minor"/>
    </font>
    <font>
      <b/>
      <sz val="11"/>
      <color rgb="FF000000"/>
      <name val="Calibri"/>
      <family val="2"/>
      <scheme val="minor"/>
    </font>
    <font>
      <sz val="11"/>
      <color theme="1"/>
      <name val="Calibri"/>
      <family val="2"/>
      <scheme val="minor"/>
    </font>
    <font>
      <sz val="11"/>
      <color rgb="FFFF0000"/>
      <name val="Calibri"/>
      <family val="2"/>
      <scheme val="minor"/>
    </font>
    <font>
      <sz val="9"/>
      <color indexed="81"/>
      <name val="Tahoma"/>
      <family val="2"/>
    </font>
    <font>
      <b/>
      <sz val="9"/>
      <color indexed="81"/>
      <name val="Tahoma"/>
      <family val="2"/>
    </font>
    <font>
      <b/>
      <sz val="11"/>
      <color theme="1"/>
      <name val="Calibri"/>
      <family val="2"/>
      <scheme val="minor"/>
    </font>
    <font>
      <b/>
      <sz val="16"/>
      <color rgb="FFFFFFFF"/>
      <name val="Calibri"/>
      <family val="2"/>
      <scheme val="minor"/>
    </font>
    <font>
      <i/>
      <sz val="11"/>
      <color rgb="FF595959"/>
      <name val="Calibri"/>
      <family val="2"/>
      <scheme val="minor"/>
    </font>
  </fonts>
  <fills count="30">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FF6B6B"/>
      </patternFill>
    </fill>
    <fill>
      <patternFill patternType="solid">
        <fgColor rgb="FFC6EFCE"/>
      </patternFill>
    </fill>
    <fill>
      <patternFill patternType="solid">
        <fgColor rgb="FFEBF3FB"/>
      </patternFill>
    </fill>
    <fill>
      <patternFill patternType="solid">
        <fgColor rgb="FFFFD93D"/>
      </patternFill>
    </fill>
    <fill>
      <patternFill patternType="solid">
        <fgColor rgb="FFFFEB9C"/>
      </patternFill>
    </fill>
    <fill>
      <patternFill patternType="solid">
        <fgColor rgb="FFFFC7CE"/>
      </patternFill>
    </fill>
    <fill>
      <patternFill patternType="solid">
        <fgColor rgb="FFD9D9D9"/>
      </patternFill>
    </fill>
    <fill>
      <patternFill patternType="solid">
        <fgColor rgb="FFDDEEFF"/>
      </patternFill>
    </fill>
    <fill>
      <patternFill patternType="solid">
        <fgColor rgb="FFDDEBF7"/>
      </patternFill>
    </fill>
    <fill>
      <patternFill patternType="solid">
        <fgColor rgb="FFEAD1FF"/>
      </patternFill>
    </fill>
    <fill>
      <patternFill patternType="solid">
        <fgColor rgb="FFF0FFF0"/>
      </patternFill>
    </fill>
    <fill>
      <patternFill patternType="solid">
        <fgColor rgb="FF6BCB77"/>
      </patternFill>
    </fill>
    <fill>
      <patternFill patternType="solid">
        <fgColor rgb="FFFFF2CC"/>
      </patternFill>
    </fill>
    <fill>
      <patternFill patternType="solid">
        <fgColor rgb="FFFF0000"/>
        <bgColor indexed="64"/>
      </patternFill>
    </fill>
    <fill>
      <patternFill patternType="solid">
        <fgColor theme="9"/>
        <bgColor indexed="64"/>
      </patternFill>
    </fill>
    <fill>
      <patternFill patternType="solid">
        <fgColor theme="8" tint="-0.249977111117893"/>
        <bgColor indexed="64"/>
      </patternFill>
    </fill>
    <fill>
      <patternFill patternType="solid">
        <fgColor rgb="FFFFFF00"/>
        <bgColor indexed="64"/>
      </patternFill>
    </fill>
    <fill>
      <patternFill patternType="solid">
        <fgColor rgb="FFFFC000"/>
        <bgColor indexed="64"/>
      </patternFill>
    </fill>
    <fill>
      <patternFill patternType="solid">
        <fgColor theme="3"/>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rgb="FF17365D"/>
        <bgColor indexed="64"/>
      </patternFill>
    </fill>
    <fill>
      <patternFill patternType="solid">
        <fgColor rgb="FFD9EAF7"/>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rgb="FFE6E6E6"/>
      </left>
      <right style="medium">
        <color rgb="FFE6E6E6"/>
      </right>
      <top style="medium">
        <color rgb="FFE6E6E6"/>
      </top>
      <bottom style="medium">
        <color rgb="FFE6E6E6"/>
      </bottom>
      <diagonal/>
    </border>
  </borders>
  <cellStyleXfs count="4">
    <xf numFmtId="0" fontId="0" fillId="0" borderId="0"/>
    <xf numFmtId="0" fontId="53" fillId="0" borderId="0" applyNumberFormat="0" applyFill="0" applyBorder="0" applyAlignment="0" applyProtection="0"/>
    <xf numFmtId="9" fontId="58" fillId="0" borderId="0" applyFont="0" applyFill="0" applyBorder="0" applyAlignment="0" applyProtection="0"/>
    <xf numFmtId="0" fontId="53" fillId="0" borderId="0" applyNumberFormat="0" applyFill="0" applyBorder="0" applyAlignment="0" applyProtection="0"/>
  </cellStyleXfs>
  <cellXfs count="150">
    <xf numFmtId="0" fontId="0" fillId="0" borderId="0" xfId="0"/>
    <xf numFmtId="0" fontId="9" fillId="12"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7" fillId="13" borderId="1"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21" fillId="14" borderId="1" xfId="0" applyFont="1" applyFill="1" applyBorder="1" applyAlignment="1">
      <alignment horizontal="center" vertical="center" wrapText="1"/>
    </xf>
    <xf numFmtId="0" fontId="10" fillId="12" borderId="1" xfId="0" applyFont="1" applyFill="1" applyBorder="1" applyAlignment="1">
      <alignment horizontal="center" vertical="center"/>
    </xf>
    <xf numFmtId="0" fontId="12" fillId="6" borderId="1" xfId="0" applyFont="1" applyFill="1" applyBorder="1" applyAlignment="1">
      <alignment horizontal="center" vertical="center"/>
    </xf>
    <xf numFmtId="0" fontId="14" fillId="10" borderId="1" xfId="0" applyFont="1" applyFill="1" applyBorder="1" applyAlignment="1">
      <alignment horizontal="center" vertical="center"/>
    </xf>
    <xf numFmtId="0" fontId="16" fillId="9" borderId="1" xfId="0" applyFont="1" applyFill="1" applyBorder="1" applyAlignment="1">
      <alignment horizontal="center" vertical="center"/>
    </xf>
    <xf numFmtId="0" fontId="18" fillId="13" borderId="1" xfId="0" applyFont="1" applyFill="1" applyBorder="1" applyAlignment="1">
      <alignment horizontal="center" vertical="center"/>
    </xf>
    <xf numFmtId="0" fontId="20" fillId="11" borderId="1" xfId="0" applyFont="1" applyFill="1" applyBorder="1" applyAlignment="1">
      <alignment horizontal="center" vertical="center"/>
    </xf>
    <xf numFmtId="0" fontId="22" fillId="14" borderId="1" xfId="0" applyFont="1" applyFill="1" applyBorder="1" applyAlignment="1">
      <alignment horizontal="center" vertical="center"/>
    </xf>
    <xf numFmtId="164" fontId="12" fillId="6" borderId="1" xfId="0" applyNumberFormat="1" applyFont="1" applyFill="1" applyBorder="1" applyAlignment="1">
      <alignment horizontal="center" vertical="center"/>
    </xf>
    <xf numFmtId="164" fontId="14" fillId="10"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4" fillId="6" borderId="1" xfId="0" applyFont="1" applyFill="1" applyBorder="1" applyAlignment="1">
      <alignment horizontal="left" vertical="center"/>
    </xf>
    <xf numFmtId="0" fontId="24" fillId="6" borderId="1" xfId="0" applyFont="1" applyFill="1" applyBorder="1" applyAlignment="1">
      <alignment horizontal="center" vertical="center"/>
    </xf>
    <xf numFmtId="164" fontId="25" fillId="6" borderId="1" xfId="0" applyNumberFormat="1" applyFont="1" applyFill="1" applyBorder="1" applyAlignment="1">
      <alignment horizontal="center" vertical="center"/>
    </xf>
    <xf numFmtId="0" fontId="26" fillId="6" borderId="1" xfId="0" applyFont="1" applyFill="1" applyBorder="1" applyAlignment="1">
      <alignment horizontal="left" vertical="center"/>
    </xf>
    <xf numFmtId="0" fontId="6" fillId="10" borderId="1" xfId="0" applyFont="1" applyFill="1" applyBorder="1" applyAlignment="1">
      <alignment horizontal="left" vertical="center"/>
    </xf>
    <xf numFmtId="0" fontId="27" fillId="10" borderId="1" xfId="0" applyFont="1" applyFill="1" applyBorder="1" applyAlignment="1">
      <alignment horizontal="center" vertical="center"/>
    </xf>
    <xf numFmtId="164" fontId="28" fillId="10" borderId="1" xfId="0" applyNumberFormat="1" applyFont="1" applyFill="1" applyBorder="1" applyAlignment="1">
      <alignment horizontal="center" vertical="center"/>
    </xf>
    <xf numFmtId="0" fontId="29" fillId="10" borderId="1" xfId="0" applyFont="1" applyFill="1" applyBorder="1" applyAlignment="1">
      <alignment horizontal="left" vertical="center"/>
    </xf>
    <xf numFmtId="0" fontId="40" fillId="8" borderId="1" xfId="0" applyFont="1" applyFill="1" applyBorder="1" applyAlignment="1">
      <alignment horizontal="center" vertical="center"/>
    </xf>
    <xf numFmtId="164" fontId="3" fillId="8" borderId="1" xfId="0" applyNumberFormat="1" applyFont="1" applyFill="1" applyBorder="1" applyAlignment="1">
      <alignment horizontal="center" vertical="center"/>
    </xf>
    <xf numFmtId="0" fontId="5" fillId="9" borderId="1" xfId="0" applyFont="1" applyFill="1" applyBorder="1" applyAlignment="1">
      <alignment horizontal="left" vertical="center"/>
    </xf>
    <xf numFmtId="0" fontId="30" fillId="9" borderId="1" xfId="0" applyFont="1" applyFill="1" applyBorder="1" applyAlignment="1">
      <alignment horizontal="center" vertical="center"/>
    </xf>
    <xf numFmtId="164" fontId="31" fillId="9" borderId="1" xfId="0" applyNumberFormat="1" applyFont="1" applyFill="1" applyBorder="1" applyAlignment="1">
      <alignment horizontal="center" vertical="center"/>
    </xf>
    <xf numFmtId="0" fontId="32" fillId="9" borderId="1" xfId="0" applyFont="1" applyFill="1" applyBorder="1" applyAlignment="1">
      <alignment horizontal="left" vertical="center"/>
    </xf>
    <xf numFmtId="0" fontId="2" fillId="16" borderId="1" xfId="0" applyFont="1" applyFill="1" applyBorder="1" applyAlignment="1">
      <alignment horizontal="center" vertical="center"/>
    </xf>
    <xf numFmtId="164" fontId="41" fillId="16" borderId="1" xfId="0" applyNumberFormat="1" applyFont="1" applyFill="1" applyBorder="1" applyAlignment="1">
      <alignment horizontal="center" vertical="center"/>
    </xf>
    <xf numFmtId="0" fontId="33" fillId="13" borderId="1" xfId="0" applyFont="1" applyFill="1" applyBorder="1" applyAlignment="1">
      <alignment horizontal="left" vertical="center"/>
    </xf>
    <xf numFmtId="0" fontId="34" fillId="13" borderId="1" xfId="0" applyFont="1" applyFill="1" applyBorder="1" applyAlignment="1">
      <alignment horizontal="center" vertical="center"/>
    </xf>
    <xf numFmtId="164" fontId="35" fillId="13" borderId="1" xfId="0" applyNumberFormat="1" applyFont="1" applyFill="1" applyBorder="1" applyAlignment="1">
      <alignment horizontal="center" vertical="center"/>
    </xf>
    <xf numFmtId="0" fontId="36" fillId="13" borderId="1" xfId="0" applyFont="1" applyFill="1" applyBorder="1" applyAlignment="1">
      <alignment horizontal="left" vertical="center"/>
    </xf>
    <xf numFmtId="0" fontId="7" fillId="11" borderId="1" xfId="0" applyFont="1" applyFill="1" applyBorder="1" applyAlignment="1">
      <alignment horizontal="left" vertical="center"/>
    </xf>
    <xf numFmtId="0" fontId="37" fillId="11" borderId="1" xfId="0" applyFont="1" applyFill="1" applyBorder="1" applyAlignment="1">
      <alignment horizontal="center" vertical="center"/>
    </xf>
    <xf numFmtId="164" fontId="38" fillId="11" borderId="1" xfId="0" applyNumberFormat="1" applyFont="1" applyFill="1" applyBorder="1" applyAlignment="1">
      <alignment horizontal="center" vertical="center"/>
    </xf>
    <xf numFmtId="0" fontId="39" fillId="11" borderId="1" xfId="0" applyFont="1" applyFill="1" applyBorder="1" applyAlignment="1">
      <alignment horizontal="left" vertical="center"/>
    </xf>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7"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2" fillId="18" borderId="1" xfId="0" applyFont="1" applyFill="1" applyBorder="1" applyAlignment="1">
      <alignment horizontal="center" vertical="center"/>
    </xf>
    <xf numFmtId="164" fontId="41" fillId="18" borderId="1" xfId="0" applyNumberFormat="1" applyFont="1" applyFill="1" applyBorder="1" applyAlignment="1">
      <alignment horizontal="center" vertical="center"/>
    </xf>
    <xf numFmtId="0" fontId="2" fillId="19" borderId="1" xfId="0" applyFont="1" applyFill="1" applyBorder="1" applyAlignment="1">
      <alignment horizontal="center" vertical="center"/>
    </xf>
    <xf numFmtId="164" fontId="41" fillId="19" borderId="1" xfId="0" applyNumberFormat="1" applyFont="1" applyFill="1" applyBorder="1" applyAlignment="1">
      <alignment horizontal="center" vertical="center"/>
    </xf>
    <xf numFmtId="0" fontId="46" fillId="20" borderId="0" xfId="0" applyFont="1" applyFill="1"/>
    <xf numFmtId="0" fontId="3" fillId="4" borderId="0" xfId="0" applyFont="1" applyFill="1" applyAlignment="1">
      <alignment horizontal="left" vertical="center" wrapText="1"/>
    </xf>
    <xf numFmtId="0" fontId="48" fillId="5" borderId="3" xfId="0" applyFont="1" applyFill="1" applyBorder="1" applyAlignment="1">
      <alignment horizontal="center" vertical="center"/>
    </xf>
    <xf numFmtId="0" fontId="49" fillId="6" borderId="3" xfId="0" applyFont="1" applyFill="1" applyBorder="1" applyAlignment="1">
      <alignment horizontal="center" vertical="center"/>
    </xf>
    <xf numFmtId="0" fontId="50" fillId="4"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51" fillId="0" borderId="3" xfId="0" applyFont="1" applyBorder="1" applyAlignment="1">
      <alignment vertical="center" wrapText="1"/>
    </xf>
    <xf numFmtId="0" fontId="51" fillId="0" borderId="3" xfId="0" applyFont="1" applyBorder="1" applyAlignment="1">
      <alignment vertical="center"/>
    </xf>
    <xf numFmtId="0" fontId="52" fillId="5" borderId="3" xfId="0" applyFont="1" applyFill="1" applyBorder="1" applyAlignment="1">
      <alignment horizontal="center" vertical="center"/>
    </xf>
    <xf numFmtId="0" fontId="2" fillId="3" borderId="3" xfId="0" applyFont="1" applyFill="1" applyBorder="1" applyAlignment="1">
      <alignment vertical="center" wrapText="1"/>
    </xf>
    <xf numFmtId="0" fontId="51" fillId="0" borderId="3" xfId="0" applyFont="1" applyBorder="1" applyAlignment="1">
      <alignment horizontal="center" vertical="center" wrapText="1"/>
    </xf>
    <xf numFmtId="14" fontId="51" fillId="0" borderId="3" xfId="0" applyNumberFormat="1" applyFont="1" applyBorder="1" applyAlignment="1">
      <alignment horizontal="center" vertical="center" wrapText="1"/>
    </xf>
    <xf numFmtId="0" fontId="0" fillId="0" borderId="0" xfId="0" applyAlignment="1">
      <alignment horizontal="center" vertical="center"/>
    </xf>
    <xf numFmtId="0" fontId="53" fillId="0" borderId="3" xfId="1" applyBorder="1" applyAlignment="1">
      <alignment vertical="center" wrapText="1"/>
    </xf>
    <xf numFmtId="0" fontId="55" fillId="0" borderId="5" xfId="0" applyFont="1" applyBorder="1" applyAlignment="1">
      <alignment vertical="center" wrapText="1"/>
    </xf>
    <xf numFmtId="0" fontId="0" fillId="0" borderId="0" xfId="0" applyAlignment="1">
      <alignment wrapText="1"/>
    </xf>
    <xf numFmtId="0" fontId="46" fillId="23" borderId="0" xfId="0" applyFont="1" applyFill="1"/>
    <xf numFmtId="0" fontId="54" fillId="0" borderId="0" xfId="0" applyFont="1"/>
    <xf numFmtId="0" fontId="54" fillId="0" borderId="0" xfId="0" applyFont="1" applyAlignment="1">
      <alignment wrapText="1"/>
    </xf>
    <xf numFmtId="0" fontId="0" fillId="0" borderId="0" xfId="0" applyAlignment="1">
      <alignment horizontal="left" wrapText="1"/>
    </xf>
    <xf numFmtId="0" fontId="0" fillId="24" borderId="0" xfId="0" applyFill="1" applyAlignment="1">
      <alignment wrapText="1"/>
    </xf>
    <xf numFmtId="0" fontId="0" fillId="24" borderId="0" xfId="0" applyFill="1"/>
    <xf numFmtId="0" fontId="0" fillId="25" borderId="0" xfId="0" applyFill="1" applyAlignment="1">
      <alignment wrapText="1"/>
    </xf>
    <xf numFmtId="0" fontId="0" fillId="22" borderId="0" xfId="0" applyFill="1" applyAlignment="1">
      <alignment wrapText="1"/>
    </xf>
    <xf numFmtId="0" fontId="0" fillId="0" borderId="0" xfId="0" applyAlignment="1">
      <alignment vertical="top" wrapText="1"/>
    </xf>
    <xf numFmtId="0" fontId="0" fillId="21" borderId="0" xfId="0" applyFill="1" applyAlignment="1">
      <alignment wrapText="1"/>
    </xf>
    <xf numFmtId="0" fontId="0" fillId="18" borderId="0" xfId="0" applyFill="1" applyAlignment="1">
      <alignment wrapText="1"/>
    </xf>
    <xf numFmtId="0" fontId="0" fillId="18" borderId="0" xfId="0" applyFill="1"/>
    <xf numFmtId="0" fontId="0" fillId="26" borderId="0" xfId="0" applyFill="1" applyAlignment="1">
      <alignment wrapText="1"/>
    </xf>
    <xf numFmtId="0" fontId="0" fillId="26" borderId="0" xfId="0" applyFill="1"/>
    <xf numFmtId="14" fontId="0" fillId="0" borderId="0" xfId="0" applyNumberFormat="1"/>
    <xf numFmtId="0" fontId="0" fillId="0" borderId="0" xfId="0" applyAlignment="1">
      <alignment horizontal="center"/>
    </xf>
    <xf numFmtId="0" fontId="0" fillId="21" borderId="0" xfId="0" applyFill="1"/>
    <xf numFmtId="0" fontId="56" fillId="0" borderId="0" xfId="0" applyFont="1"/>
    <xf numFmtId="0" fontId="0" fillId="21" borderId="0" xfId="0" applyFill="1" applyAlignment="1">
      <alignment horizontal="center" vertical="center"/>
    </xf>
    <xf numFmtId="0" fontId="0" fillId="0" borderId="0" xfId="0" applyAlignment="1">
      <alignment horizontal="left"/>
    </xf>
    <xf numFmtId="0" fontId="0" fillId="24" borderId="0" xfId="0" applyFill="1" applyAlignment="1">
      <alignment horizontal="left" vertical="center"/>
    </xf>
    <xf numFmtId="9" fontId="0" fillId="0" borderId="0" xfId="2" applyFont="1"/>
    <xf numFmtId="0" fontId="0" fillId="0" borderId="0" xfId="0" pivotButton="1"/>
    <xf numFmtId="2" fontId="0" fillId="0" borderId="0" xfId="0" applyNumberFormat="1" applyAlignment="1">
      <alignment horizontal="center" vertical="center"/>
    </xf>
    <xf numFmtId="1" fontId="0" fillId="0" borderId="0" xfId="0" applyNumberFormat="1" applyAlignment="1">
      <alignment horizontal="center" vertical="center"/>
    </xf>
    <xf numFmtId="0" fontId="0" fillId="24" borderId="0" xfId="0" applyFill="1" applyAlignment="1">
      <alignment horizontal="center" vertical="center"/>
    </xf>
    <xf numFmtId="2" fontId="0" fillId="24" borderId="0" xfId="0" applyNumberFormat="1" applyFill="1" applyAlignment="1">
      <alignment horizontal="center" vertical="center"/>
    </xf>
    <xf numFmtId="0" fontId="0" fillId="18" borderId="0" xfId="0" applyFill="1" applyAlignment="1">
      <alignment horizontal="center" vertical="center"/>
    </xf>
    <xf numFmtId="2" fontId="0" fillId="18" borderId="0" xfId="0" applyNumberFormat="1" applyFill="1" applyAlignment="1">
      <alignment horizontal="center" vertical="center"/>
    </xf>
    <xf numFmtId="0" fontId="0" fillId="26" borderId="0" xfId="0" applyFill="1" applyAlignment="1">
      <alignment horizontal="center" vertical="center"/>
    </xf>
    <xf numFmtId="2" fontId="0" fillId="26" borderId="0" xfId="0" applyNumberFormat="1" applyFill="1" applyAlignment="1">
      <alignment horizontal="center" vertical="center"/>
    </xf>
    <xf numFmtId="0" fontId="53" fillId="0" borderId="0" xfId="1"/>
    <xf numFmtId="0" fontId="0" fillId="27" borderId="0" xfId="0" applyFill="1" applyAlignment="1">
      <alignment wrapText="1"/>
    </xf>
    <xf numFmtId="0" fontId="0" fillId="0" borderId="0" xfId="0" applyAlignment="1">
      <alignment vertical="center"/>
    </xf>
    <xf numFmtId="0" fontId="53" fillId="0" borderId="0" xfId="1" applyAlignment="1">
      <alignment vertical="center"/>
    </xf>
    <xf numFmtId="0" fontId="0" fillId="21" borderId="0" xfId="0" applyFill="1" applyAlignment="1">
      <alignment horizontal="center"/>
    </xf>
    <xf numFmtId="0" fontId="51" fillId="21" borderId="3" xfId="0" applyFont="1" applyFill="1" applyBorder="1" applyAlignment="1">
      <alignment vertical="center" wrapText="1"/>
    </xf>
    <xf numFmtId="0" fontId="0" fillId="0" borderId="0" xfId="0" applyAlignment="1">
      <alignment horizontal="left" vertical="center"/>
    </xf>
    <xf numFmtId="0" fontId="53" fillId="0" borderId="0" xfId="3" applyAlignment="1">
      <alignment vertical="center"/>
    </xf>
    <xf numFmtId="0" fontId="0" fillId="0" borderId="0" xfId="0" applyAlignment="1">
      <alignment vertical="center" wrapText="1"/>
    </xf>
    <xf numFmtId="0" fontId="46" fillId="23" borderId="0" xfId="0" applyFont="1" applyFill="1" applyAlignment="1">
      <alignment horizontal="center"/>
    </xf>
    <xf numFmtId="0" fontId="0" fillId="0" borderId="0" xfId="0" applyAlignment="1">
      <alignment horizontal="left" vertical="center" wrapText="1"/>
    </xf>
    <xf numFmtId="0" fontId="53" fillId="0" borderId="0" xfId="1" applyAlignment="1">
      <alignment vertical="center" wrapText="1"/>
    </xf>
    <xf numFmtId="14" fontId="0" fillId="0" borderId="0" xfId="0" applyNumberFormat="1" applyAlignment="1">
      <alignment horizontal="center" vertical="center"/>
    </xf>
    <xf numFmtId="0" fontId="53" fillId="0" borderId="0" xfId="1" applyFill="1"/>
    <xf numFmtId="0" fontId="53" fillId="0" borderId="0" xfId="1" applyFill="1" applyAlignment="1">
      <alignment vertical="center"/>
    </xf>
    <xf numFmtId="0" fontId="53" fillId="0" borderId="0" xfId="3" applyFill="1" applyAlignment="1">
      <alignment vertical="center"/>
    </xf>
    <xf numFmtId="0" fontId="53" fillId="0" borderId="0" xfId="1" applyFill="1" applyAlignment="1">
      <alignment vertical="center" wrapText="1"/>
    </xf>
    <xf numFmtId="14" fontId="0" fillId="0" borderId="0" xfId="0" applyNumberFormat="1" applyAlignment="1">
      <alignment horizontal="right"/>
    </xf>
    <xf numFmtId="0" fontId="0" fillId="0" borderId="0" xfId="0" applyAlignment="1">
      <alignment horizontal="right"/>
    </xf>
    <xf numFmtId="14" fontId="0" fillId="0" borderId="0" xfId="0" applyNumberFormat="1" applyAlignment="1">
      <alignment horizontal="right" vertical="center"/>
    </xf>
    <xf numFmtId="0" fontId="46" fillId="23" borderId="0" xfId="0" applyFont="1" applyFill="1" applyAlignment="1">
      <alignment wrapText="1"/>
    </xf>
    <xf numFmtId="0" fontId="62" fillId="29" borderId="0" xfId="0" applyFont="1" applyFill="1"/>
    <xf numFmtId="1" fontId="0" fillId="0" borderId="0" xfId="0" applyNumberFormat="1"/>
    <xf numFmtId="1" fontId="62" fillId="29" borderId="0" xfId="0" applyNumberFormat="1" applyFont="1" applyFill="1"/>
    <xf numFmtId="0" fontId="0" fillId="21" borderId="0" xfId="0" applyFill="1" applyAlignment="1">
      <alignment horizontal="left" vertical="center"/>
    </xf>
    <xf numFmtId="14" fontId="0" fillId="0" borderId="0" xfId="0" applyNumberFormat="1" applyAlignment="1">
      <alignment horizontal="right" wrapText="1"/>
    </xf>
    <xf numFmtId="14" fontId="0" fillId="0" borderId="0" xfId="0" applyNumberFormat="1" applyAlignment="1">
      <alignment wrapText="1"/>
    </xf>
    <xf numFmtId="0" fontId="56" fillId="0" borderId="0" xfId="0" applyFont="1" applyAlignment="1">
      <alignment wrapText="1"/>
    </xf>
    <xf numFmtId="0" fontId="8" fillId="20" borderId="0" xfId="0" applyFont="1" applyFill="1" applyAlignment="1">
      <alignment horizontal="center" vertical="center"/>
    </xf>
    <xf numFmtId="0" fontId="1" fillId="2" borderId="0" xfId="0" applyFont="1" applyFill="1" applyAlignment="1">
      <alignment horizontal="center" vertical="center"/>
    </xf>
    <xf numFmtId="0" fontId="8" fillId="20" borderId="2" xfId="0" applyFont="1" applyFill="1" applyBorder="1" applyAlignment="1">
      <alignment horizontal="center" vertical="center"/>
    </xf>
    <xf numFmtId="0" fontId="44" fillId="0" borderId="0" xfId="0" applyFont="1" applyAlignment="1">
      <alignment horizontal="left" vertical="center"/>
    </xf>
    <xf numFmtId="0" fontId="2" fillId="20" borderId="0" xfId="0" applyFont="1" applyFill="1" applyAlignment="1">
      <alignment horizontal="center" vertical="center"/>
    </xf>
    <xf numFmtId="0" fontId="23" fillId="15" borderId="0" xfId="0" applyFont="1" applyFill="1" applyAlignment="1">
      <alignment horizontal="center" vertical="center"/>
    </xf>
    <xf numFmtId="0" fontId="42" fillId="10" borderId="0" xfId="0" applyFont="1" applyFill="1" applyAlignment="1">
      <alignment horizontal="center" vertical="center"/>
    </xf>
    <xf numFmtId="0" fontId="43" fillId="17" borderId="0" xfId="0" applyFont="1" applyFill="1" applyAlignment="1">
      <alignment horizontal="center" vertical="center"/>
    </xf>
    <xf numFmtId="0" fontId="1" fillId="20" borderId="4" xfId="0" applyFont="1" applyFill="1" applyBorder="1" applyAlignment="1">
      <alignment horizontal="center" vertical="center"/>
    </xf>
    <xf numFmtId="0" fontId="1" fillId="20" borderId="0" xfId="0" applyFont="1" applyFill="1" applyAlignment="1">
      <alignment horizontal="center" vertical="center"/>
    </xf>
    <xf numFmtId="0" fontId="64" fillId="0" borderId="0" xfId="0" applyFont="1" applyAlignment="1">
      <alignment horizontal="center"/>
    </xf>
    <xf numFmtId="0" fontId="63" fillId="28" borderId="0" xfId="0" applyFont="1" applyFill="1" applyAlignment="1">
      <alignment horizontal="center"/>
    </xf>
    <xf numFmtId="0" fontId="7" fillId="11" borderId="1" xfId="0" applyFont="1" applyFill="1" applyBorder="1" applyAlignment="1">
      <alignment horizontal="center" vertical="center"/>
    </xf>
    <xf numFmtId="0" fontId="6" fillId="10" borderId="1" xfId="0" applyFont="1" applyFill="1" applyBorder="1" applyAlignment="1">
      <alignment horizontal="center" vertical="center"/>
    </xf>
    <xf numFmtId="0" fontId="8" fillId="3" borderId="2" xfId="0" applyFont="1" applyFill="1" applyBorder="1" applyAlignment="1">
      <alignment horizontal="center" vertical="center"/>
    </xf>
    <xf numFmtId="0" fontId="45" fillId="20" borderId="0" xfId="0" applyFont="1" applyFill="1" applyAlignment="1">
      <alignment horizontal="center" vertical="center"/>
    </xf>
    <xf numFmtId="0" fontId="4" fillId="6" borderId="1" xfId="0" applyFont="1" applyFill="1" applyBorder="1" applyAlignment="1">
      <alignment horizontal="center" vertical="center"/>
    </xf>
    <xf numFmtId="0" fontId="33" fillId="13" borderId="1" xfId="0" applyFont="1" applyFill="1" applyBorder="1" applyAlignment="1">
      <alignment horizontal="center" vertical="center"/>
    </xf>
    <xf numFmtId="0" fontId="5" fillId="9" borderId="1" xfId="0" applyFont="1" applyFill="1" applyBorder="1" applyAlignment="1">
      <alignment horizontal="center" vertical="center"/>
    </xf>
    <xf numFmtId="0" fontId="0" fillId="0" borderId="0" xfId="0" applyAlignment="1"/>
    <xf numFmtId="0" fontId="0" fillId="20" borderId="0" xfId="0" applyFill="1" applyAlignment="1"/>
  </cellXfs>
  <cellStyles count="4">
    <cellStyle name="Hipervínculo" xfId="1" builtinId="8"/>
    <cellStyle name="Hyperlink" xfId="3" xr:uid="{00000000-000B-0000-0000-000008000000}"/>
    <cellStyle name="Normal" xfId="0" builtinId="0"/>
    <cellStyle name="Porcentaje" xfId="2" builtinId="5"/>
  </cellStyles>
  <dxfs count="15">
    <dxf>
      <numFmt numFmtId="1" formatCode="0"/>
    </dxf>
    <dxf>
      <numFmt numFmtId="1" formatCode="0"/>
    </dxf>
    <dxf>
      <numFmt numFmtId="1" formatCode="0"/>
    </dxf>
    <dxf>
      <numFmt numFmtId="1" formatCode="0"/>
    </dxf>
    <dxf>
      <numFmt numFmtId="1" formatCode="0"/>
    </dxf>
    <dxf>
      <numFmt numFmtId="1" formatCode="0"/>
    </dxf>
    <dxf>
      <font>
        <b val="0"/>
        <i val="0"/>
        <color theme="0"/>
      </font>
      <fill>
        <patternFill>
          <bgColor rgb="FF92D050"/>
        </patternFill>
      </fill>
    </dxf>
    <dxf>
      <font>
        <b val="0"/>
        <i val="0"/>
        <color theme="1"/>
      </font>
      <fill>
        <patternFill>
          <bgColor rgb="FFFFFF00"/>
        </patternFill>
      </fill>
    </dxf>
    <dxf>
      <font>
        <b val="0"/>
        <i val="0"/>
        <color theme="0"/>
      </font>
      <fill>
        <patternFill>
          <bgColor theme="9" tint="-0.24994659260841701"/>
        </patternFill>
      </fill>
    </dxf>
    <dxf>
      <font>
        <b val="0"/>
        <i val="0"/>
        <color theme="0"/>
      </font>
      <fill>
        <patternFill>
          <bgColor rgb="FF00B0F0"/>
        </patternFill>
      </fill>
    </dxf>
    <dxf>
      <font>
        <b val="0"/>
        <i val="0"/>
        <color theme="0"/>
      </font>
      <fill>
        <patternFill>
          <bgColor rgb="FFFF0000"/>
        </patternFill>
      </fill>
    </dxf>
    <dxf>
      <font>
        <b val="0"/>
        <i val="0"/>
      </font>
      <fill>
        <patternFill>
          <bgColor theme="9"/>
        </patternFill>
      </fill>
      <border>
        <vertical/>
        <horizontal/>
      </border>
    </dxf>
    <dxf>
      <font>
        <b val="0"/>
        <i val="0"/>
      </font>
      <fill>
        <patternFill>
          <bgColor rgb="FFFF0000"/>
        </patternFill>
      </fill>
      <border>
        <vertical/>
        <horizontal/>
      </border>
    </dxf>
    <dxf>
      <font>
        <b val="0"/>
        <i val="0"/>
      </font>
      <fill>
        <patternFill>
          <bgColor rgb="FF92D050"/>
        </patternFill>
      </fill>
      <border>
        <vertical/>
        <horizontal/>
      </border>
    </dxf>
    <dxf>
      <font>
        <b val="0"/>
        <i val="0"/>
      </font>
      <fill>
        <patternFill>
          <bgColor rgb="FFFFC000"/>
        </patternFill>
      </fill>
      <border>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466725</xdr:colOff>
      <xdr:row>1</xdr:row>
      <xdr:rowOff>9525</xdr:rowOff>
    </xdr:to>
    <xdr:pic>
      <xdr:nvPicPr>
        <xdr:cNvPr id="2" name="Imagen 1" descr="Home Center Logo &amp; Brand Assets (SVG ...">
          <a:extLst>
            <a:ext uri="{FF2B5EF4-FFF2-40B4-BE49-F238E27FC236}">
              <a16:creationId xmlns:a16="http://schemas.microsoft.com/office/drawing/2014/main" id="{4D3A8054-C9EC-0A8A-8816-754A2D5E18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466725"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47624</xdr:colOff>
      <xdr:row>0</xdr:row>
      <xdr:rowOff>104775</xdr:rowOff>
    </xdr:from>
    <xdr:to>
      <xdr:col>13</xdr:col>
      <xdr:colOff>505889</xdr:colOff>
      <xdr:row>0</xdr:row>
      <xdr:rowOff>367082</xdr:rowOff>
    </xdr:to>
    <xdr:pic>
      <xdr:nvPicPr>
        <xdr:cNvPr id="3" name="Imagen 2">
          <a:extLst>
            <a:ext uri="{FF2B5EF4-FFF2-40B4-BE49-F238E27FC236}">
              <a16:creationId xmlns:a16="http://schemas.microsoft.com/office/drawing/2014/main" id="{D11E4A01-1A3F-FB17-B200-E66AA660E2B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06199" y="104775"/>
          <a:ext cx="458265" cy="2623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g_dti07" id="{D0485F48-E946-49BE-B2D5-97282D2A3945}" userId="S::g_dti07@sodimac.com.mx::12b024ce-8373-4972-a125-6fa8b7657ef5"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VAN SAUL CORTES ZAMORA" refreshedDate="46290.724339699074" createdVersion="8" refreshedVersion="8" minRefreshableVersion="3" recordCount="312" xr:uid="{1ED1C64A-B690-4524-BFB8-35210DE26B63}">
  <cacheSource type="worksheet">
    <worksheetSource ref="E1:H445" sheet="Listado Issue Abiertos"/>
  </cacheSource>
  <cacheFields count="4">
    <cacheField name="Pantalla" numFmtId="0">
      <sharedItems containsBlank="1" count="35">
        <s v="Notas de crédito"/>
        <s v="Facturación"/>
        <s v="Estado de Cuenta"/>
        <s v="Complemento Pago"/>
        <s v="Seguridad"/>
        <s v="Carta Porte"/>
        <s v="Pagos"/>
        <s v="Listado Recepciones"/>
        <s v="Three way match"/>
        <s v="Descuentos Comercial"/>
        <s v="Catálogo de Catálogos"/>
        <s v="Recepciones MIGO"/>
        <m/>
        <s v="Bitacora de actividades" u="1"/>
        <s v="Bloqueo de proveedores" u="1"/>
        <s v="Catálogo de proveedores" u="1"/>
        <s v="Configuración de parámetros" u="1"/>
        <s v="Finanzas" u="1"/>
        <s v="Fiscal" u="1"/>
        <s v="Utilerias" u="1"/>
        <s v="Inicio" u="1"/>
        <s v="Guias de Embarque." u="1"/>
        <s v="Todo" u="1"/>
        <s v="MIGO" u="1"/>
        <s v="Guias de Embarque" u="1"/>
        <s v="Nuevo Catálogo / Importar Elementos" u="1"/>
        <s v="Elementos" u="1"/>
        <s v="Conversiones" u="1"/>
        <s v="Catálogos" u="1"/>
        <s v="Usuario Atributo, Administrar atributos" u="1"/>
        <s v="Recepciones" u="1"/>
        <s v="Recepcion" u="1"/>
        <s v="Nuevo Catálogo, Importar Elementos" u="1"/>
        <s v="Rol Atributo" u="1"/>
        <s v="Complemento de Pago" u="1"/>
      </sharedItems>
    </cacheField>
    <cacheField name="Revisión DEV" numFmtId="0">
      <sharedItems containsBlank="1" containsMixedTypes="1" containsNumber="1" containsInteger="1" minValue="1" maxValue="1"/>
    </cacheField>
    <cacheField name="Ajuste DEV" numFmtId="0">
      <sharedItems containsBlank="1" containsMixedTypes="1" containsNumber="1" containsInteger="1" minValue="1" maxValue="1"/>
    </cacheField>
    <cacheField name="Validado QA" numFmtId="0">
      <sharedItems containsBlank="1" containsMixedTypes="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x v="0"/>
    <s v="x"/>
    <s v="D"/>
    <s v="x"/>
  </r>
  <r>
    <x v="1"/>
    <s v="x"/>
    <s v="D"/>
    <n v="1"/>
  </r>
  <r>
    <x v="0"/>
    <s v="x"/>
    <m/>
    <n v="1"/>
  </r>
  <r>
    <x v="1"/>
    <s v="x"/>
    <m/>
    <n v="1"/>
  </r>
  <r>
    <x v="2"/>
    <s v="x"/>
    <s v="D"/>
    <s v="x"/>
  </r>
  <r>
    <x v="1"/>
    <s v="x"/>
    <s v="D"/>
    <s v="x"/>
  </r>
  <r>
    <x v="3"/>
    <s v="x"/>
    <m/>
    <n v="1"/>
  </r>
  <r>
    <x v="4"/>
    <s v="x"/>
    <s v="D"/>
    <n v="1"/>
  </r>
  <r>
    <x v="5"/>
    <s v="x"/>
    <s v="D"/>
    <s v="x"/>
  </r>
  <r>
    <x v="6"/>
    <s v="x"/>
    <s v="D"/>
    <s v="x"/>
  </r>
  <r>
    <x v="6"/>
    <s v="x"/>
    <s v="D"/>
    <s v="x"/>
  </r>
  <r>
    <x v="7"/>
    <s v="x"/>
    <m/>
    <s v="x"/>
  </r>
  <r>
    <x v="5"/>
    <s v="x"/>
    <m/>
    <s v="x"/>
  </r>
  <r>
    <x v="5"/>
    <s v="x"/>
    <m/>
    <s v="Y"/>
  </r>
  <r>
    <x v="7"/>
    <s v="x"/>
    <m/>
    <s v="x"/>
  </r>
  <r>
    <x v="4"/>
    <s v="x"/>
    <s v="x"/>
    <s v="x"/>
  </r>
  <r>
    <x v="8"/>
    <s v="x"/>
    <s v="x"/>
    <s v="x"/>
  </r>
  <r>
    <x v="9"/>
    <s v="x"/>
    <s v="x"/>
    <s v="x"/>
  </r>
  <r>
    <x v="8"/>
    <s v="x"/>
    <s v="x"/>
    <s v="x"/>
  </r>
  <r>
    <x v="9"/>
    <s v="x"/>
    <s v="x"/>
    <s v="x"/>
  </r>
  <r>
    <x v="9"/>
    <s v="x"/>
    <m/>
    <n v="1"/>
  </r>
  <r>
    <x v="10"/>
    <s v="x"/>
    <s v="D"/>
    <s v="x"/>
  </r>
  <r>
    <x v="11"/>
    <s v="x"/>
    <s v="D"/>
    <n v="1"/>
  </r>
  <r>
    <x v="4"/>
    <s v="x"/>
    <s v="x"/>
    <s v="x"/>
  </r>
  <r>
    <x v="4"/>
    <s v="x"/>
    <n v="1"/>
    <n v="1"/>
  </r>
  <r>
    <x v="4"/>
    <s v="x"/>
    <n v="1"/>
    <n v="1"/>
  </r>
  <r>
    <x v="10"/>
    <s v="x"/>
    <s v="x"/>
    <s v="x"/>
  </r>
  <r>
    <x v="10"/>
    <s v="x"/>
    <s v="x"/>
    <s v="x"/>
  </r>
  <r>
    <x v="7"/>
    <s v="x"/>
    <m/>
    <s v="x"/>
  </r>
  <r>
    <x v="2"/>
    <s v="x"/>
    <s v="D"/>
    <n v="1"/>
  </r>
  <r>
    <x v="11"/>
    <s v="x"/>
    <s v="D"/>
    <s v="x"/>
  </r>
  <r>
    <x v="10"/>
    <s v="x"/>
    <s v="D"/>
    <n v="1"/>
  </r>
  <r>
    <x v="4"/>
    <s v="x"/>
    <s v="D"/>
    <s v="x"/>
  </r>
  <r>
    <x v="4"/>
    <s v="x"/>
    <s v="D"/>
    <s v="x"/>
  </r>
  <r>
    <x v="4"/>
    <s v="x"/>
    <s v="D"/>
    <s v="x"/>
  </r>
  <r>
    <x v="10"/>
    <m/>
    <m/>
    <s v="x"/>
  </r>
  <r>
    <x v="10"/>
    <m/>
    <m/>
    <n v="1"/>
  </r>
  <r>
    <x v="10"/>
    <m/>
    <m/>
    <n v="1"/>
  </r>
  <r>
    <x v="10"/>
    <m/>
    <m/>
    <n v="1"/>
  </r>
  <r>
    <x v="10"/>
    <m/>
    <m/>
    <n v="1"/>
  </r>
  <r>
    <x v="10"/>
    <m/>
    <m/>
    <n v="1"/>
  </r>
  <r>
    <x v="5"/>
    <m/>
    <m/>
    <s v="x"/>
  </r>
  <r>
    <x v="4"/>
    <n v="1"/>
    <n v="1"/>
    <n v="1"/>
  </r>
  <r>
    <x v="1"/>
    <m/>
    <s v="D"/>
    <s v="x"/>
  </r>
  <r>
    <x v="0"/>
    <s v="x"/>
    <s v="D"/>
    <s v="x"/>
  </r>
  <r>
    <x v="0"/>
    <s v="x"/>
    <s v="D"/>
    <s v="x"/>
  </r>
  <r>
    <x v="0"/>
    <s v="x"/>
    <s v="D"/>
    <s v="x"/>
  </r>
  <r>
    <x v="6"/>
    <s v="x"/>
    <s v="D"/>
    <s v="x"/>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r>
    <x v="1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E812C6-5C09-46F4-A346-48AB0BBE83EE}" name="TablaDinámica4" cacheId="92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17" firstHeaderRow="1" firstDataRow="1" firstDataCol="1"/>
  <pivotFields count="4">
    <pivotField axis="axisRow" showAll="0">
      <items count="36">
        <item m="1" x="13"/>
        <item m="1" x="14"/>
        <item x="5"/>
        <item x="10"/>
        <item m="1" x="15"/>
        <item x="3"/>
        <item m="1" x="16"/>
        <item x="9"/>
        <item x="2"/>
        <item x="1"/>
        <item m="1" x="17"/>
        <item m="1" x="18"/>
        <item m="1" x="21"/>
        <item m="1" x="20"/>
        <item x="7"/>
        <item x="0"/>
        <item x="6"/>
        <item x="11"/>
        <item x="4"/>
        <item x="8"/>
        <item m="1" x="22"/>
        <item m="1" x="19"/>
        <item x="12"/>
        <item m="1" x="28"/>
        <item m="1" x="29"/>
        <item m="1" x="30"/>
        <item m="1" x="34"/>
        <item m="1" x="23"/>
        <item m="1" x="24"/>
        <item m="1" x="31"/>
        <item m="1" x="32"/>
        <item m="1" x="33"/>
        <item m="1" x="25"/>
        <item m="1" x="26"/>
        <item m="1" x="27"/>
        <item t="default"/>
      </items>
    </pivotField>
    <pivotField showAll="0"/>
    <pivotField showAll="0"/>
    <pivotField dataField="1" showAll="0"/>
  </pivotFields>
  <rowFields count="1">
    <field x="0"/>
  </rowFields>
  <rowItems count="14">
    <i>
      <x v="2"/>
    </i>
    <i>
      <x v="3"/>
    </i>
    <i>
      <x v="5"/>
    </i>
    <i>
      <x v="7"/>
    </i>
    <i>
      <x v="8"/>
    </i>
    <i>
      <x v="9"/>
    </i>
    <i>
      <x v="14"/>
    </i>
    <i>
      <x v="15"/>
    </i>
    <i>
      <x v="16"/>
    </i>
    <i>
      <x v="17"/>
    </i>
    <i>
      <x v="18"/>
    </i>
    <i>
      <x v="19"/>
    </i>
    <i>
      <x v="22"/>
    </i>
    <i t="grand">
      <x/>
    </i>
  </rowItems>
  <colItems count="1">
    <i/>
  </colItems>
  <dataFields count="1">
    <dataField name="Suma de Validado QA"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F9889F-F633-4C4B-A385-3279BEC95193}" name="tblCargaResponsable" displayName="tblCargaResponsable" ref="A3:G9" totalsRowShown="0">
  <autoFilter ref="A3:G9" xr:uid="{C1F9889F-F633-4C4B-A385-3279BEC95193}"/>
  <tableColumns count="7">
    <tableColumn id="1" xr3:uid="{C0B7AF4C-6923-4CAF-8E45-5D6B1169D60E}" name="Responsable"/>
    <tableColumn id="2" xr3:uid="{F6287D29-3FE9-4B7A-9BA3-3151F29493B7}" name="Total asignado" dataDxfId="5">
      <calculatedColumnFormula>COUNTIF('Listado Issue Abiertos'!$C$2:$C$217,$A4)</calculatedColumnFormula>
    </tableColumn>
    <tableColumn id="3" xr3:uid="{80F53EF6-A5F9-4A93-8368-F6818D71078D}" name="Alto" dataDxfId="4">
      <calculatedColumnFormula>COUNTIFS('Listado Issue Abiertos'!$C$2:$C$217,$A4,'Listado Issue Abiertos'!$B$2:$B$217,C$3)</calculatedColumnFormula>
    </tableColumn>
    <tableColumn id="4" xr3:uid="{6EB9FB55-2707-491A-89CA-112E85EC9C2E}" name="Medio" dataDxfId="3">
      <calculatedColumnFormula>COUNTIFS('Listado Issue Abiertos'!$C$2:$C$217,$A4,'Listado Issue Abiertos'!$B$2:$B$217,D$3)</calculatedColumnFormula>
    </tableColumn>
    <tableColumn id="5" xr3:uid="{2F0A135C-57D7-4816-84F4-7A229FA93CAD}" name="Bajo" dataDxfId="2">
      <calculatedColumnFormula>COUNTIFS('Listado Issue Abiertos'!$C$2:$C$217,$A4,'Listado Issue Abiertos'!$B$2:$B$217,E$3)</calculatedColumnFormula>
    </tableColumn>
    <tableColumn id="6" xr3:uid="{4DE0822C-9B3C-488E-AAB6-30CB5B99AC68}" name="Cerrados" dataDxfId="1"/>
    <tableColumn id="7" xr3:uid="{BB229DCD-74CD-4C4F-A7D6-D1F33972376C}" name="Pendientes" dataDxfId="0">
      <calculatedColumnFormula>tblCargaResponsable[[#This Row],[Total asignado]]-tblCargaResponsable[[#This Row],[Cerrados]]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334" dT="2026-09-03T06:15:54.43" personId="{D0485F48-E946-49BE-B2D5-97282D2A3945}" id="{A7DF3909-44B7-43D6-9317-26F41932ADCC}">
    <text>Posible mal configuración de "Permisos x Evento"</text>
  </threadedComment>
  <threadedComment ref="B335" dT="2026-09-03T06:15:58.79" personId="{D0485F48-E946-49BE-B2D5-97282D2A3945}" id="{82AC2915-5F27-46EF-A794-CDB42EC851F6}">
    <text>Posible mal configuración de "Permisos x Evento"</text>
  </threadedComment>
</ThreadedComments>
</file>

<file path=xl/threadedComments/threadedComment2.xml><?xml version="1.0" encoding="utf-8"?>
<ThreadedComments xmlns="http://schemas.microsoft.com/office/spreadsheetml/2018/threadedcomments" xmlns:x="http://schemas.openxmlformats.org/spreadsheetml/2006/main">
  <threadedComment ref="A44" dT="2026-09-23T17:15:01.95" personId="{D0485F48-E946-49BE-B2D5-97282D2A3945}" id="{D1615276-5E3C-46B6-A5CE-AE900FCCE57A}">
    <text>- EVT0127 Nuevo Elemento
- EVT0128 Cambiar estatus del elemento
- EVT0129 Ver Conversión
- EVT0130 Nueva Conversión
- EVT0131 Cambiar conversión principal
- EVT0132 Borrar
- EVT0133 Borrar Seleccionados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falabella.atlassian.net/browse/STM-1595" TargetMode="External"/><Relationship Id="rId1" Type="http://schemas.openxmlformats.org/officeDocument/2006/relationships/hyperlink" Target="https://falabella.atlassian.net/browse/STM-1590"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falabella.atlassian.net/browse/STM-1774" TargetMode="External"/><Relationship Id="rId7" Type="http://schemas.openxmlformats.org/officeDocument/2006/relationships/comments" Target="../comments2.xml"/><Relationship Id="rId2" Type="http://schemas.openxmlformats.org/officeDocument/2006/relationships/hyperlink" Target="https://falabella.atlassian.net/browse/STM-1773" TargetMode="External"/><Relationship Id="rId1" Type="http://schemas.openxmlformats.org/officeDocument/2006/relationships/hyperlink" Target="https://falabella.atlassian.net/browse/STM-1675" TargetMode="External"/><Relationship Id="rId6" Type="http://schemas.openxmlformats.org/officeDocument/2006/relationships/vmlDrawing" Target="../drawings/vmlDrawing2.vml"/><Relationship Id="rId5" Type="http://schemas.openxmlformats.org/officeDocument/2006/relationships/hyperlink" Target="https://falabella.atlassian.net/browse/STM-1742" TargetMode="External"/><Relationship Id="rId4" Type="http://schemas.openxmlformats.org/officeDocument/2006/relationships/hyperlink" Target="https://falabella.atlassian.net/browse/STM-1744"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8" Type="http://schemas.openxmlformats.org/officeDocument/2006/relationships/hyperlink" Target="https://falabella.atlassian.net/browse/STM-1673" TargetMode="External"/><Relationship Id="rId13" Type="http://schemas.openxmlformats.org/officeDocument/2006/relationships/hyperlink" Target="https://falabella.atlassian.net/browse/STM-1773" TargetMode="External"/><Relationship Id="rId3" Type="http://schemas.openxmlformats.org/officeDocument/2006/relationships/hyperlink" Target="https://falabella.atlassian.net/browse/STM-1668" TargetMode="External"/><Relationship Id="rId7" Type="http://schemas.openxmlformats.org/officeDocument/2006/relationships/hyperlink" Target="https://falabella.atlassian.net/browse/STM-1672" TargetMode="External"/><Relationship Id="rId12" Type="http://schemas.openxmlformats.org/officeDocument/2006/relationships/hyperlink" Target="https://falabella.atlassian.net/browse/STM-1744" TargetMode="External"/><Relationship Id="rId2" Type="http://schemas.openxmlformats.org/officeDocument/2006/relationships/hyperlink" Target="https://falabella.atlassian.net/browse/STM-1667" TargetMode="External"/><Relationship Id="rId16" Type="http://schemas.openxmlformats.org/officeDocument/2006/relationships/comments" Target="../comments3.xml"/><Relationship Id="rId1" Type="http://schemas.openxmlformats.org/officeDocument/2006/relationships/hyperlink" Target="https://falabella.atlassian.net/browse/STM-1653" TargetMode="External"/><Relationship Id="rId6" Type="http://schemas.openxmlformats.org/officeDocument/2006/relationships/hyperlink" Target="https://falabella.atlassian.net/browse/STM-1671" TargetMode="External"/><Relationship Id="rId11" Type="http://schemas.openxmlformats.org/officeDocument/2006/relationships/hyperlink" Target="https://falabella.atlassian.net/browse/STM-1742" TargetMode="External"/><Relationship Id="rId5" Type="http://schemas.openxmlformats.org/officeDocument/2006/relationships/hyperlink" Target="https://falabella.atlassian.net/browse/STM-1670" TargetMode="External"/><Relationship Id="rId15" Type="http://schemas.openxmlformats.org/officeDocument/2006/relationships/vmlDrawing" Target="../drawings/vmlDrawing3.vml"/><Relationship Id="rId10" Type="http://schemas.openxmlformats.org/officeDocument/2006/relationships/hyperlink" Target="https://falabella.atlassian.net/browse/STM-1675" TargetMode="External"/><Relationship Id="rId4" Type="http://schemas.openxmlformats.org/officeDocument/2006/relationships/hyperlink" Target="https://falabella.atlassian.net/browse/STM-1669" TargetMode="External"/><Relationship Id="rId9" Type="http://schemas.openxmlformats.org/officeDocument/2006/relationships/hyperlink" Target="https://falabella.atlassian.net/browse/STM-1674" TargetMode="External"/><Relationship Id="rId14" Type="http://schemas.openxmlformats.org/officeDocument/2006/relationships/hyperlink" Target="https://falabella.atlassian.net/browse/STM-17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
  <sheetViews>
    <sheetView showGridLines="0" workbookViewId="0">
      <selection activeCell="A7" sqref="A7"/>
    </sheetView>
  </sheetViews>
  <sheetFormatPr defaultColWidth="9.140625" defaultRowHeight="14.45"/>
  <cols>
    <col min="1" max="1" width="15.85546875" bestFit="1" customWidth="1"/>
    <col min="2" max="2" width="9.140625" bestFit="1" customWidth="1"/>
    <col min="3" max="3" width="11" bestFit="1" customWidth="1"/>
    <col min="4" max="4" width="24.140625" bestFit="1" customWidth="1"/>
    <col min="5" max="5" width="12.28515625" bestFit="1" customWidth="1"/>
    <col min="6" max="6" width="12.7109375" bestFit="1" customWidth="1"/>
    <col min="7" max="7" width="26" bestFit="1" customWidth="1"/>
    <col min="8" max="9" width="14.42578125" bestFit="1" customWidth="1"/>
    <col min="10" max="10" width="7" customWidth="1"/>
    <col min="11" max="12" width="16" customWidth="1"/>
  </cols>
  <sheetData>
    <row r="1" spans="1:14" ht="36" customHeight="1">
      <c r="A1" s="130" t="s">
        <v>0</v>
      </c>
      <c r="B1" s="130"/>
      <c r="C1" s="130"/>
      <c r="D1" s="130"/>
      <c r="E1" s="130"/>
      <c r="F1" s="130"/>
      <c r="G1" s="130"/>
      <c r="H1" s="130"/>
      <c r="I1" s="130"/>
      <c r="J1" s="130"/>
      <c r="K1" s="130"/>
      <c r="L1" s="130"/>
      <c r="M1" s="130"/>
      <c r="N1" s="130"/>
    </row>
    <row r="3" spans="1:14" ht="24" customHeight="1">
      <c r="A3" s="129" t="s">
        <v>1</v>
      </c>
      <c r="B3" s="129"/>
      <c r="C3" s="129"/>
      <c r="D3" s="129"/>
      <c r="E3" s="129"/>
      <c r="F3" s="129"/>
      <c r="G3" s="129"/>
      <c r="H3" s="129"/>
      <c r="I3" s="129"/>
      <c r="J3" s="129"/>
      <c r="K3" s="129"/>
      <c r="L3" s="129"/>
      <c r="M3" s="129"/>
      <c r="N3" s="129"/>
    </row>
    <row r="5" spans="1:14" ht="36" customHeight="1">
      <c r="A5" s="1" t="s">
        <v>2</v>
      </c>
      <c r="B5" s="2" t="s">
        <v>3</v>
      </c>
      <c r="C5" s="3" t="s">
        <v>4</v>
      </c>
      <c r="D5" s="4" t="s">
        <v>5</v>
      </c>
      <c r="E5" s="5" t="s">
        <v>6</v>
      </c>
      <c r="F5" s="6" t="s">
        <v>7</v>
      </c>
      <c r="G5" s="7" t="s">
        <v>8</v>
      </c>
      <c r="H5" s="2" t="s">
        <v>9</v>
      </c>
      <c r="I5" s="3" t="s">
        <v>10</v>
      </c>
      <c r="K5" s="135" t="s">
        <v>11</v>
      </c>
      <c r="L5" s="135"/>
      <c r="M5" s="135"/>
      <c r="N5" s="135"/>
    </row>
    <row r="6" spans="1:14" ht="18">
      <c r="K6" s="136" t="str">
        <f>_xlfn.CONCAT("Total: ",(COUNTIF('Matriz de Pruebas'!F3:F989,"Falló")+COUNTIF('Matriz de Pruebas'!F3:F989,"Bloqueado"))," de ",COUNTA('Matriz de Pruebas'!F3:F989," escenarios"))</f>
        <v>Total: 2 de 709</v>
      </c>
      <c r="L6" s="148"/>
      <c r="M6" s="148"/>
      <c r="N6" s="148"/>
    </row>
    <row r="7" spans="1:14" ht="48" customHeight="1">
      <c r="A7" s="8">
        <f>COUNTA('Matriz de Pruebas'!F3:F989)</f>
        <v>708</v>
      </c>
      <c r="B7" s="9">
        <f>COUNTIF('Matriz de Pruebas'!F3:F989,"Pasó")</f>
        <v>266</v>
      </c>
      <c r="C7" s="10">
        <f>COUNTIF('Matriz de Pruebas'!F3:F989,"Falló")</f>
        <v>2</v>
      </c>
      <c r="D7" s="11">
        <f>COUNTIF('Matriz de Pruebas'!F3:F989,"En Progreso")</f>
        <v>1</v>
      </c>
      <c r="E7" s="12">
        <f>COUNTIF('Matriz de Pruebas'!F3:F989,"Pendiente")</f>
        <v>439</v>
      </c>
      <c r="F7" s="13">
        <f>COUNTIF('Matriz de Pruebas'!F3:F989,"Bloqueado")</f>
        <v>0</v>
      </c>
      <c r="G7" s="14">
        <f>COUNTIF('Matriz de Pruebas'!I3:I989,"*")</f>
        <v>2</v>
      </c>
      <c r="H7" s="15">
        <f>IFERROR(COUNTIF('Matriz de Pruebas'!F3:F989,"Pasó")/COUNTA('Matriz de Pruebas'!F3:F989),0)</f>
        <v>0.37570621468926552</v>
      </c>
      <c r="I7" s="16">
        <f>IFERROR((COUNTIF('Matriz de Pruebas'!F3:F989,"Falló")+COUNTIF('Matriz de Pruebas'!F3:F989,"Bloqueado"))/COUNTA('Matriz de Pruebas'!F3:F989),0)</f>
        <v>2.8248587570621469E-3</v>
      </c>
    </row>
    <row r="8" spans="1:14">
      <c r="K8" s="131" t="s">
        <v>12</v>
      </c>
      <c r="L8" s="131"/>
      <c r="M8" s="131"/>
      <c r="N8" s="131"/>
    </row>
    <row r="9" spans="1:14" ht="20.100000000000001" customHeight="1">
      <c r="A9" s="133" t="s">
        <v>13</v>
      </c>
      <c r="B9" s="149"/>
      <c r="C9" s="149"/>
      <c r="D9" s="149"/>
      <c r="E9" s="149"/>
      <c r="F9" s="149"/>
      <c r="G9" s="149"/>
      <c r="H9" s="149"/>
      <c r="I9" s="149"/>
      <c r="K9" s="17" t="s">
        <v>14</v>
      </c>
      <c r="L9" s="17" t="s">
        <v>15</v>
      </c>
      <c r="M9" s="17" t="s">
        <v>16</v>
      </c>
      <c r="N9" s="17" t="s">
        <v>17</v>
      </c>
    </row>
    <row r="10" spans="1:14" ht="24" customHeight="1">
      <c r="A10" s="134" t="str">
        <f>IFERROR(REPT("█",ROUND(COUNTIF('Matriz de Pruebas'!F3:F19,"Pasó")/COUNTA('Matriz de Pruebas'!F3:F19)*50,0))&amp;REPT("░",50-ROUND(COUNTIF('Matriz de Pruebas'!F3:F19,"Pasó")/COUNTA('Matriz de Pruebas'!F3:F19)*50,0)),"Sin datos")</f>
        <v>░░░░░░░░░░░░░░░░░░░░░░░░░░░░░░░░░░░░░░░░░░░░░░░░░░</v>
      </c>
      <c r="B10" s="148"/>
      <c r="C10" s="148"/>
      <c r="D10" s="148"/>
      <c r="E10" s="148"/>
      <c r="F10" s="148"/>
      <c r="G10" s="148"/>
      <c r="H10" s="148"/>
      <c r="I10" s="148"/>
      <c r="K10" s="50" t="s">
        <v>18</v>
      </c>
      <c r="L10" s="50">
        <f>COUNTIF('Matriz de Pruebas'!E3:E989,"Critico")</f>
        <v>31</v>
      </c>
      <c r="M10" s="50" cm="1">
        <f t="array" ref="M10">SUMPRODUCT((EXACT('Matriz de Pruebas'!E3:E989,"Critico"))*(EXACT('Matriz de Pruebas'!F3:F989,"Falló")))</f>
        <v>2</v>
      </c>
      <c r="N10" s="51" cm="1">
        <f t="array" ref="N10">IFERROR(SUMPRODUCT((EXACT('Matriz de Pruebas'!E3:E989,"Critico"))*(EXACT('Matriz de Pruebas'!F3:F989,"Falló")))/COUNTIF('Matriz de Pruebas'!E3:E989,"Critico"),0)</f>
        <v>6.4516129032258063E-2</v>
      </c>
    </row>
    <row r="11" spans="1:14">
      <c r="K11" s="52" t="s">
        <v>19</v>
      </c>
      <c r="L11" s="52">
        <f>COUNTIF('Matriz de Pruebas'!E3:E989,"Alta")</f>
        <v>275</v>
      </c>
      <c r="M11" s="52" cm="1">
        <f t="array" ref="M11">SUMPRODUCT((EXACT('Matriz de Pruebas'!E3:E989,"Alta"))*(EXACT('Matriz de Pruebas'!F3:F989,"Falló")))</f>
        <v>0</v>
      </c>
      <c r="N11" s="53" cm="1">
        <f t="array" ref="N11">IFERROR(SUMPRODUCT((EXACT('Matriz de Pruebas'!E3:E989,"Alta"))*(EXACT('Matriz de Pruebas'!F3:F989,"Falló")))/COUNTIF('Matriz de Pruebas'!E3:E989,"Alta"),0)</f>
        <v>0</v>
      </c>
    </row>
    <row r="12" spans="1:14" ht="24" customHeight="1">
      <c r="A12" s="129" t="s">
        <v>20</v>
      </c>
      <c r="B12" s="149"/>
      <c r="C12" s="149"/>
      <c r="D12" s="149"/>
      <c r="K12" s="26" t="s">
        <v>21</v>
      </c>
      <c r="L12" s="26">
        <f>COUNTIF('Matriz de Pruebas'!E3:E989,"Media")</f>
        <v>390</v>
      </c>
      <c r="M12" s="26" cm="1">
        <f t="array" ref="M12">SUMPRODUCT((EXACT('Matriz de Pruebas'!E3:E989,"Media"))*(EXACT('Matriz de Pruebas'!F3:F989,"Falló")))</f>
        <v>0</v>
      </c>
      <c r="N12" s="27" cm="1">
        <f t="array" ref="N12">IFERROR(SUMPRODUCT((EXACT('Matriz de Pruebas'!E3:E989,"Media"))*(EXACT('Matriz de Pruebas'!F3:F989,"Falló")))/COUNTIF('Matriz de Pruebas'!E3:E989,"Media"),0)</f>
        <v>0</v>
      </c>
    </row>
    <row r="13" spans="1:14" ht="21.95" customHeight="1">
      <c r="A13" s="17" t="s">
        <v>22</v>
      </c>
      <c r="B13" s="17" t="s">
        <v>23</v>
      </c>
      <c r="C13" s="17" t="s">
        <v>24</v>
      </c>
      <c r="D13" s="17" t="s">
        <v>25</v>
      </c>
      <c r="K13" s="32" t="s">
        <v>26</v>
      </c>
      <c r="L13" s="32">
        <f>COUNTIF('Matriz de Pruebas'!E3:E989,"Baja")</f>
        <v>4</v>
      </c>
      <c r="M13" s="32" cm="1">
        <f t="array" ref="M13">SUMPRODUCT((EXACT('Matriz de Pruebas'!E3:E989,"Baja"))*(EXACT('Matriz de Pruebas'!F3:F989,"Falló")))</f>
        <v>0</v>
      </c>
      <c r="N13" s="33" cm="1">
        <f t="array" ref="N13">IFERROR(SUMPRODUCT((EXACT('Matriz de Pruebas'!E3:E989,"Baja"))*(EXACT('Matriz de Pruebas'!F3:F989,"Falló")))/COUNTIF('Matriz de Pruebas'!E3:E989,"Baja"),0)</f>
        <v>0</v>
      </c>
    </row>
    <row r="14" spans="1:14" ht="24" customHeight="1">
      <c r="A14" s="18" t="s">
        <v>3</v>
      </c>
      <c r="B14" s="19">
        <f>COUNTIF('Matriz de Pruebas'!F3:F989,"Pasó")</f>
        <v>266</v>
      </c>
      <c r="C14" s="20">
        <f>IFERROR(COUNTIF('Matriz de Pruebas'!F3:F19,"Pasó")/COUNTA('Matriz de Pruebas'!F3:F19),0)</f>
        <v>0</v>
      </c>
      <c r="D14" s="21" t="str">
        <f>REPT("▓",ROUND(IFERROR(COUNTIF('Matriz de Pruebas'!F3:F19,"Pasó")/COUNTA('Matriz de Pruebas'!F3:F19),0)*20,0))</f>
        <v/>
      </c>
    </row>
    <row r="15" spans="1:14" ht="24" customHeight="1">
      <c r="A15" s="22" t="s">
        <v>4</v>
      </c>
      <c r="B15" s="23">
        <f>COUNTIF('Matriz de Pruebas'!F3:F989,"Falló")</f>
        <v>2</v>
      </c>
      <c r="C15" s="24">
        <f>IFERROR(COUNTIF('Matriz de Pruebas'!F3:F19,"Falló")/COUNTA('Matriz de Pruebas'!F3:F19),0)</f>
        <v>0</v>
      </c>
      <c r="D15" s="25" t="str">
        <f>REPT("▓",ROUND(IFERROR(COUNTIF('Matriz de Pruebas'!F3:F19,"Falló")/COUNTA('Matriz de Pruebas'!F3:F19),0)*20,0))</f>
        <v/>
      </c>
    </row>
    <row r="16" spans="1:14" ht="24" customHeight="1">
      <c r="A16" s="28" t="s">
        <v>5</v>
      </c>
      <c r="B16" s="29">
        <f>COUNTIF('Matriz de Pruebas'!F3:F989,"En Progreso")</f>
        <v>1</v>
      </c>
      <c r="C16" s="30">
        <f>IFERROR(COUNTIF('Matriz de Pruebas'!F3:F19,"En Progreso")/COUNTA('Matriz de Pruebas'!F3:F19),0)</f>
        <v>0</v>
      </c>
      <c r="D16" s="31" t="str">
        <f>REPT("▓",ROUND(IFERROR(COUNTIF('Matriz de Pruebas'!F3:F19,"En Progreso")/COUNTA('Matriz de Pruebas'!F3:F19),0)*20,0))</f>
        <v/>
      </c>
    </row>
    <row r="17" spans="1:12" ht="24" customHeight="1">
      <c r="A17" s="34" t="s">
        <v>6</v>
      </c>
      <c r="B17" s="35">
        <f>COUNTIF('Matriz de Pruebas'!F3:F989,"Pendiente")</f>
        <v>439</v>
      </c>
      <c r="C17" s="36">
        <f>IFERROR(COUNTIF('Matriz de Pruebas'!F3:F19,"Pendiente")/COUNTA('Matriz de Pruebas'!F3:F19),0)</f>
        <v>1</v>
      </c>
      <c r="D17" s="37" t="str">
        <f>REPT("▓",ROUND(IFERROR(COUNTIF('Matriz de Pruebas'!F3:F19,"Pendiente")/COUNTA('Matriz de Pruebas'!F3:F19),0)*20,0))</f>
        <v>▓▓▓▓▓▓▓▓▓▓▓▓▓▓▓▓▓▓▓▓</v>
      </c>
    </row>
    <row r="18" spans="1:12" ht="24" customHeight="1">
      <c r="A18" s="38" t="s">
        <v>7</v>
      </c>
      <c r="B18" s="39">
        <f>COUNTIF('Matriz de Pruebas'!F3:F989,"Bloqueado")</f>
        <v>0</v>
      </c>
      <c r="C18" s="40">
        <f>IFERROR(COUNTIF('Matriz de Pruebas'!F3:F19,"Bloqueado")/COUNTA('Matriz de Pruebas'!F3:F19),0)</f>
        <v>0</v>
      </c>
      <c r="D18" s="41" t="str">
        <f>REPT("▓",ROUND(IFERROR(COUNTIF('Matriz de Pruebas'!F3:F19,"Bloqueado")/COUNTA('Matriz de Pruebas'!F3:F19),0)*20,0))</f>
        <v/>
      </c>
    </row>
    <row r="20" spans="1:12" ht="26.1" customHeight="1"/>
    <row r="21" spans="1:12" ht="30" customHeight="1"/>
    <row r="23" spans="1:12">
      <c r="A23" s="132"/>
      <c r="B23" s="148"/>
      <c r="C23" s="148"/>
      <c r="D23" s="148"/>
      <c r="E23" s="148"/>
      <c r="F23" s="148"/>
      <c r="G23" s="148"/>
      <c r="H23" s="148"/>
      <c r="I23" s="148"/>
      <c r="J23" s="148"/>
      <c r="K23" s="148"/>
      <c r="L23" s="148"/>
    </row>
  </sheetData>
  <mergeCells count="9">
    <mergeCell ref="A3:N3"/>
    <mergeCell ref="A1:N1"/>
    <mergeCell ref="K8:N8"/>
    <mergeCell ref="A23:L23"/>
    <mergeCell ref="A9:I9"/>
    <mergeCell ref="A10:I10"/>
    <mergeCell ref="A12:D12"/>
    <mergeCell ref="K5:N5"/>
    <mergeCell ref="K6:N6"/>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710"/>
  <sheetViews>
    <sheetView showGridLines="0" workbookViewId="0">
      <pane ySplit="2" topLeftCell="A351" activePane="bottomLeft" state="frozen"/>
      <selection pane="bottomLeft" activeCell="A354" sqref="A354:XFD354"/>
    </sheetView>
  </sheetViews>
  <sheetFormatPr defaultColWidth="9.140625" defaultRowHeight="14.45"/>
  <cols>
    <col min="1" max="1" width="9.5703125" customWidth="1"/>
    <col min="2" max="2" width="45.42578125" bestFit="1" customWidth="1"/>
    <col min="3" max="3" width="9.140625" bestFit="1" customWidth="1"/>
    <col min="4" max="4" width="24" bestFit="1" customWidth="1"/>
    <col min="5" max="5" width="9.42578125" bestFit="1" customWidth="1"/>
    <col min="6" max="6" width="14.7109375" customWidth="1"/>
    <col min="7" max="7" width="28.85546875" bestFit="1" customWidth="1"/>
    <col min="8" max="8" width="19" bestFit="1" customWidth="1"/>
    <col min="9" max="10" width="15.85546875" bestFit="1" customWidth="1"/>
    <col min="11" max="11" width="16.85546875" bestFit="1" customWidth="1"/>
    <col min="12" max="12" width="16.7109375" bestFit="1" customWidth="1"/>
    <col min="13" max="13" width="18.7109375" bestFit="1" customWidth="1"/>
    <col min="14" max="14" width="16.140625" style="66" bestFit="1" customWidth="1"/>
    <col min="15" max="15" width="18.85546875" bestFit="1" customWidth="1"/>
    <col min="16" max="16" width="65.28515625" bestFit="1" customWidth="1"/>
    <col min="17" max="17" width="8.28515625" bestFit="1" customWidth="1"/>
    <col min="18" max="18" width="12.7109375" bestFit="1" customWidth="1"/>
    <col min="19" max="19" width="12.5703125" bestFit="1" customWidth="1"/>
    <col min="20" max="20" width="12.140625" bestFit="1" customWidth="1"/>
  </cols>
  <sheetData>
    <row r="1" spans="1:21" ht="20.100000000000001">
      <c r="A1" s="137" t="s">
        <v>27</v>
      </c>
      <c r="B1" s="138"/>
      <c r="C1" s="138"/>
      <c r="D1" s="138"/>
      <c r="E1" s="138"/>
      <c r="F1" s="138"/>
      <c r="G1" s="138"/>
      <c r="H1" s="138"/>
      <c r="I1" s="138"/>
      <c r="J1" s="138"/>
      <c r="K1" s="138"/>
      <c r="L1" s="138"/>
      <c r="M1" s="138"/>
      <c r="N1" s="138"/>
      <c r="O1" s="138"/>
      <c r="P1" s="138"/>
      <c r="Q1" s="138"/>
      <c r="R1" s="138"/>
      <c r="S1" s="138"/>
      <c r="T1" s="138"/>
      <c r="U1" s="138"/>
    </row>
    <row r="2" spans="1:21" ht="26.1">
      <c r="A2" s="59" t="s">
        <v>28</v>
      </c>
      <c r="B2" s="59" t="s">
        <v>29</v>
      </c>
      <c r="C2" s="59" t="s">
        <v>30</v>
      </c>
      <c r="D2" s="59" t="s">
        <v>31</v>
      </c>
      <c r="E2" s="59" t="s">
        <v>14</v>
      </c>
      <c r="F2" s="59" t="s">
        <v>22</v>
      </c>
      <c r="G2" s="59" t="s">
        <v>32</v>
      </c>
      <c r="H2" s="59" t="s">
        <v>33</v>
      </c>
      <c r="I2" s="59" t="s">
        <v>34</v>
      </c>
      <c r="J2" s="59" t="s">
        <v>35</v>
      </c>
      <c r="K2" s="59" t="s">
        <v>36</v>
      </c>
      <c r="L2" s="59" t="s">
        <v>37</v>
      </c>
      <c r="M2" s="59" t="s">
        <v>38</v>
      </c>
      <c r="N2" s="63" t="s">
        <v>39</v>
      </c>
      <c r="O2" s="59" t="s">
        <v>40</v>
      </c>
      <c r="P2" s="59" t="s">
        <v>41</v>
      </c>
      <c r="Q2" s="59" t="s">
        <v>42</v>
      </c>
      <c r="R2" s="59" t="s">
        <v>43</v>
      </c>
      <c r="S2" s="59" t="s">
        <v>44</v>
      </c>
      <c r="T2" s="59" t="s">
        <v>45</v>
      </c>
      <c r="U2" s="59" t="s">
        <v>46</v>
      </c>
    </row>
    <row r="3" spans="1:21" ht="40.5">
      <c r="A3" s="60" t="s">
        <v>47</v>
      </c>
      <c r="B3" s="60" t="s">
        <v>48</v>
      </c>
      <c r="C3" s="61" t="s">
        <v>49</v>
      </c>
      <c r="D3" s="61" t="s">
        <v>50</v>
      </c>
      <c r="E3" s="56" t="s">
        <v>21</v>
      </c>
      <c r="F3" s="57" t="s">
        <v>51</v>
      </c>
      <c r="G3" s="60" t="s">
        <v>52</v>
      </c>
      <c r="H3" s="60"/>
      <c r="I3" s="60"/>
      <c r="J3" s="58" t="s">
        <v>53</v>
      </c>
      <c r="K3" s="58" t="s">
        <v>54</v>
      </c>
      <c r="L3" s="58" t="s">
        <v>55</v>
      </c>
      <c r="M3" s="60" t="s">
        <v>56</v>
      </c>
      <c r="N3" s="64"/>
      <c r="O3" s="60" t="s">
        <v>57</v>
      </c>
      <c r="P3" s="60" t="s">
        <v>58</v>
      </c>
      <c r="Q3" s="60" t="s">
        <v>59</v>
      </c>
      <c r="R3" s="60" t="s">
        <v>19</v>
      </c>
      <c r="S3" s="60"/>
      <c r="T3" s="60" t="s">
        <v>60</v>
      </c>
      <c r="U3" s="61" t="s">
        <v>61</v>
      </c>
    </row>
    <row r="4" spans="1:21" ht="27">
      <c r="A4" s="60" t="s">
        <v>62</v>
      </c>
      <c r="B4" s="60" t="s">
        <v>63</v>
      </c>
      <c r="C4" s="61" t="s">
        <v>49</v>
      </c>
      <c r="D4" s="61" t="s">
        <v>50</v>
      </c>
      <c r="E4" s="56" t="s">
        <v>21</v>
      </c>
      <c r="F4" s="57" t="s">
        <v>51</v>
      </c>
      <c r="G4" s="60" t="s">
        <v>64</v>
      </c>
      <c r="H4" s="60"/>
      <c r="I4" s="60"/>
      <c r="J4" s="58" t="s">
        <v>53</v>
      </c>
      <c r="K4" s="58" t="s">
        <v>54</v>
      </c>
      <c r="L4" s="58" t="s">
        <v>55</v>
      </c>
      <c r="M4" s="60" t="s">
        <v>56</v>
      </c>
      <c r="N4" s="64"/>
      <c r="O4" s="60" t="s">
        <v>65</v>
      </c>
      <c r="P4" s="60" t="s">
        <v>66</v>
      </c>
      <c r="Q4" s="60" t="s">
        <v>59</v>
      </c>
      <c r="R4" s="60" t="s">
        <v>19</v>
      </c>
      <c r="S4" s="60"/>
      <c r="T4" s="60" t="s">
        <v>60</v>
      </c>
      <c r="U4" s="61" t="s">
        <v>61</v>
      </c>
    </row>
    <row r="5" spans="1:21" ht="40.5">
      <c r="A5" s="60" t="s">
        <v>67</v>
      </c>
      <c r="B5" s="60" t="s">
        <v>68</v>
      </c>
      <c r="C5" s="61" t="s">
        <v>49</v>
      </c>
      <c r="D5" s="61" t="s">
        <v>50</v>
      </c>
      <c r="E5" s="56" t="s">
        <v>21</v>
      </c>
      <c r="F5" s="57" t="s">
        <v>51</v>
      </c>
      <c r="G5" s="60" t="s">
        <v>69</v>
      </c>
      <c r="H5" s="60"/>
      <c r="I5" s="60"/>
      <c r="J5" s="58" t="s">
        <v>53</v>
      </c>
      <c r="K5" s="58" t="s">
        <v>54</v>
      </c>
      <c r="L5" s="58" t="s">
        <v>55</v>
      </c>
      <c r="M5" s="60" t="s">
        <v>56</v>
      </c>
      <c r="N5" s="64"/>
      <c r="O5" s="60" t="s">
        <v>57</v>
      </c>
      <c r="P5" s="60" t="s">
        <v>58</v>
      </c>
      <c r="Q5" s="60" t="s">
        <v>59</v>
      </c>
      <c r="R5" s="60" t="s">
        <v>19</v>
      </c>
      <c r="S5" s="60"/>
      <c r="T5" s="60" t="s">
        <v>60</v>
      </c>
      <c r="U5" s="61" t="s">
        <v>61</v>
      </c>
    </row>
    <row r="6" spans="1:21" ht="27">
      <c r="A6" s="60" t="s">
        <v>70</v>
      </c>
      <c r="B6" s="60" t="s">
        <v>71</v>
      </c>
      <c r="C6" s="61" t="s">
        <v>49</v>
      </c>
      <c r="D6" s="61" t="s">
        <v>50</v>
      </c>
      <c r="E6" s="56" t="s">
        <v>21</v>
      </c>
      <c r="F6" s="57" t="s">
        <v>51</v>
      </c>
      <c r="G6" s="60" t="s">
        <v>72</v>
      </c>
      <c r="H6" s="60"/>
      <c r="I6" s="60"/>
      <c r="J6" s="58" t="s">
        <v>53</v>
      </c>
      <c r="K6" s="58" t="s">
        <v>54</v>
      </c>
      <c r="L6" s="58" t="s">
        <v>55</v>
      </c>
      <c r="M6" s="60" t="s">
        <v>56</v>
      </c>
      <c r="N6" s="64"/>
      <c r="O6" s="60" t="s">
        <v>57</v>
      </c>
      <c r="P6" s="60"/>
      <c r="Q6" s="60" t="s">
        <v>59</v>
      </c>
      <c r="R6" s="60" t="s">
        <v>19</v>
      </c>
      <c r="S6" s="60"/>
      <c r="T6" s="60" t="s">
        <v>60</v>
      </c>
      <c r="U6" s="61" t="s">
        <v>61</v>
      </c>
    </row>
    <row r="7" spans="1:21" ht="40.5">
      <c r="A7" s="60" t="s">
        <v>73</v>
      </c>
      <c r="B7" s="60" t="s">
        <v>74</v>
      </c>
      <c r="C7" s="61" t="s">
        <v>49</v>
      </c>
      <c r="D7" s="61" t="s">
        <v>50</v>
      </c>
      <c r="E7" s="56" t="s">
        <v>21</v>
      </c>
      <c r="F7" s="57" t="s">
        <v>51</v>
      </c>
      <c r="G7" s="60" t="s">
        <v>75</v>
      </c>
      <c r="H7" s="60"/>
      <c r="I7" s="60"/>
      <c r="J7" s="58" t="s">
        <v>53</v>
      </c>
      <c r="K7" s="58" t="s">
        <v>54</v>
      </c>
      <c r="L7" s="58" t="s">
        <v>55</v>
      </c>
      <c r="M7" s="60" t="s">
        <v>56</v>
      </c>
      <c r="N7" s="64"/>
      <c r="O7" s="60" t="s">
        <v>76</v>
      </c>
      <c r="P7" s="60"/>
      <c r="Q7" s="60" t="s">
        <v>59</v>
      </c>
      <c r="R7" s="60" t="s">
        <v>19</v>
      </c>
      <c r="S7" s="60"/>
      <c r="T7" s="60" t="s">
        <v>60</v>
      </c>
      <c r="U7" s="61" t="s">
        <v>61</v>
      </c>
    </row>
    <row r="8" spans="1:21" ht="27">
      <c r="A8" s="60" t="s">
        <v>77</v>
      </c>
      <c r="B8" s="60" t="s">
        <v>78</v>
      </c>
      <c r="C8" s="61" t="s">
        <v>49</v>
      </c>
      <c r="D8" s="61" t="s">
        <v>50</v>
      </c>
      <c r="E8" s="56" t="s">
        <v>21</v>
      </c>
      <c r="F8" s="57" t="s">
        <v>51</v>
      </c>
      <c r="G8" s="60" t="s">
        <v>79</v>
      </c>
      <c r="H8" s="60"/>
      <c r="I8" s="60"/>
      <c r="J8" s="58" t="s">
        <v>53</v>
      </c>
      <c r="K8" s="58" t="s">
        <v>54</v>
      </c>
      <c r="L8" s="58" t="s">
        <v>55</v>
      </c>
      <c r="M8" s="60" t="s">
        <v>80</v>
      </c>
      <c r="N8" s="64"/>
      <c r="O8" s="60" t="s">
        <v>57</v>
      </c>
      <c r="P8" s="60" t="s">
        <v>81</v>
      </c>
      <c r="Q8" s="60" t="s">
        <v>82</v>
      </c>
      <c r="R8" s="60" t="s">
        <v>21</v>
      </c>
      <c r="S8" s="60"/>
      <c r="T8" s="60" t="s">
        <v>83</v>
      </c>
      <c r="U8" s="61" t="s">
        <v>61</v>
      </c>
    </row>
    <row r="9" spans="1:21" ht="27">
      <c r="A9" s="60" t="s">
        <v>84</v>
      </c>
      <c r="B9" s="60" t="s">
        <v>85</v>
      </c>
      <c r="C9" s="61" t="s">
        <v>49</v>
      </c>
      <c r="D9" s="61" t="s">
        <v>50</v>
      </c>
      <c r="E9" s="56" t="s">
        <v>21</v>
      </c>
      <c r="F9" s="57" t="s">
        <v>51</v>
      </c>
      <c r="G9" s="60" t="s">
        <v>86</v>
      </c>
      <c r="H9" s="60"/>
      <c r="I9" s="60"/>
      <c r="J9" s="58" t="s">
        <v>53</v>
      </c>
      <c r="K9" s="58" t="s">
        <v>54</v>
      </c>
      <c r="L9" s="58" t="s">
        <v>55</v>
      </c>
      <c r="M9" s="60"/>
      <c r="N9" s="64"/>
      <c r="O9" s="60" t="s">
        <v>87</v>
      </c>
      <c r="P9" s="60" t="s">
        <v>88</v>
      </c>
      <c r="Q9" s="60" t="s">
        <v>89</v>
      </c>
      <c r="R9" s="60" t="s">
        <v>21</v>
      </c>
      <c r="S9" s="60"/>
      <c r="T9" s="60" t="s">
        <v>60</v>
      </c>
      <c r="U9" s="61" t="s">
        <v>61</v>
      </c>
    </row>
    <row r="10" spans="1:21" ht="27">
      <c r="A10" s="60" t="s">
        <v>90</v>
      </c>
      <c r="B10" s="60" t="s">
        <v>91</v>
      </c>
      <c r="C10" s="61" t="s">
        <v>49</v>
      </c>
      <c r="D10" s="61" t="s">
        <v>50</v>
      </c>
      <c r="E10" s="56" t="s">
        <v>21</v>
      </c>
      <c r="F10" s="57" t="s">
        <v>51</v>
      </c>
      <c r="G10" s="60" t="s">
        <v>92</v>
      </c>
      <c r="H10" s="60"/>
      <c r="I10" s="60"/>
      <c r="J10" s="58" t="s">
        <v>53</v>
      </c>
      <c r="K10" s="58" t="s">
        <v>54</v>
      </c>
      <c r="L10" s="58" t="s">
        <v>55</v>
      </c>
      <c r="M10" s="60"/>
      <c r="N10" s="64"/>
      <c r="O10" s="60" t="s">
        <v>93</v>
      </c>
      <c r="P10" s="60" t="s">
        <v>94</v>
      </c>
      <c r="Q10" s="60" t="s">
        <v>59</v>
      </c>
      <c r="R10" s="60" t="s">
        <v>21</v>
      </c>
      <c r="S10" s="60"/>
      <c r="T10" s="60" t="s">
        <v>60</v>
      </c>
      <c r="U10" s="61" t="s">
        <v>61</v>
      </c>
    </row>
    <row r="11" spans="1:21" ht="40.5">
      <c r="A11" s="60" t="s">
        <v>95</v>
      </c>
      <c r="B11" s="60" t="s">
        <v>96</v>
      </c>
      <c r="C11" s="61" t="s">
        <v>49</v>
      </c>
      <c r="D11" s="61" t="s">
        <v>50</v>
      </c>
      <c r="E11" s="56" t="s">
        <v>21</v>
      </c>
      <c r="F11" s="57" t="s">
        <v>51</v>
      </c>
      <c r="G11" s="60" t="s">
        <v>97</v>
      </c>
      <c r="H11" s="60"/>
      <c r="I11" s="60"/>
      <c r="J11" s="58" t="s">
        <v>53</v>
      </c>
      <c r="K11" s="58" t="s">
        <v>54</v>
      </c>
      <c r="L11" s="58" t="s">
        <v>55</v>
      </c>
      <c r="M11" s="60"/>
      <c r="N11" s="64"/>
      <c r="O11" s="60" t="s">
        <v>98</v>
      </c>
      <c r="P11" s="60" t="s">
        <v>99</v>
      </c>
      <c r="Q11" s="60" t="s">
        <v>89</v>
      </c>
      <c r="R11" s="60" t="s">
        <v>21</v>
      </c>
      <c r="S11" s="60"/>
      <c r="T11" s="60" t="s">
        <v>60</v>
      </c>
      <c r="U11" s="61" t="s">
        <v>61</v>
      </c>
    </row>
    <row r="12" spans="1:21" ht="27">
      <c r="A12" s="60" t="s">
        <v>100</v>
      </c>
      <c r="B12" s="60" t="s">
        <v>101</v>
      </c>
      <c r="C12" s="61" t="s">
        <v>49</v>
      </c>
      <c r="D12" s="61" t="s">
        <v>50</v>
      </c>
      <c r="E12" s="56" t="s">
        <v>21</v>
      </c>
      <c r="F12" s="57" t="s">
        <v>51</v>
      </c>
      <c r="G12" s="60" t="s">
        <v>102</v>
      </c>
      <c r="H12" s="60"/>
      <c r="I12" s="60"/>
      <c r="J12" s="58" t="s">
        <v>53</v>
      </c>
      <c r="K12" s="58" t="s">
        <v>54</v>
      </c>
      <c r="L12" s="58" t="s">
        <v>55</v>
      </c>
      <c r="M12" s="60"/>
      <c r="N12" s="64"/>
      <c r="O12" s="60" t="s">
        <v>103</v>
      </c>
      <c r="P12" s="60" t="s">
        <v>104</v>
      </c>
      <c r="Q12" s="60" t="s">
        <v>89</v>
      </c>
      <c r="R12" s="60" t="s">
        <v>26</v>
      </c>
      <c r="S12" s="60"/>
      <c r="T12" s="60" t="s">
        <v>60</v>
      </c>
      <c r="U12" s="61" t="s">
        <v>61</v>
      </c>
    </row>
    <row r="13" spans="1:21" ht="27">
      <c r="A13" s="60" t="s">
        <v>105</v>
      </c>
      <c r="B13" s="60" t="s">
        <v>106</v>
      </c>
      <c r="C13" s="61" t="s">
        <v>49</v>
      </c>
      <c r="D13" s="61" t="s">
        <v>50</v>
      </c>
      <c r="E13" s="56" t="s">
        <v>21</v>
      </c>
      <c r="F13" s="57" t="s">
        <v>51</v>
      </c>
      <c r="G13" s="60" t="s">
        <v>107</v>
      </c>
      <c r="H13" s="60"/>
      <c r="I13" s="60"/>
      <c r="J13" s="58" t="s">
        <v>53</v>
      </c>
      <c r="K13" s="58" t="s">
        <v>54</v>
      </c>
      <c r="L13" s="58" t="s">
        <v>55</v>
      </c>
      <c r="M13" s="60"/>
      <c r="N13" s="64"/>
      <c r="O13" s="60" t="s">
        <v>108</v>
      </c>
      <c r="P13" s="60" t="s">
        <v>109</v>
      </c>
      <c r="Q13" s="60" t="s">
        <v>82</v>
      </c>
      <c r="R13" s="60" t="s">
        <v>21</v>
      </c>
      <c r="S13" s="60"/>
      <c r="T13" s="60" t="s">
        <v>60</v>
      </c>
      <c r="U13" s="61" t="s">
        <v>61</v>
      </c>
    </row>
    <row r="14" spans="1:21" ht="27">
      <c r="A14" s="60" t="s">
        <v>110</v>
      </c>
      <c r="B14" s="60" t="s">
        <v>111</v>
      </c>
      <c r="C14" s="61" t="s">
        <v>49</v>
      </c>
      <c r="D14" s="61" t="s">
        <v>50</v>
      </c>
      <c r="E14" s="56" t="s">
        <v>21</v>
      </c>
      <c r="F14" s="57" t="s">
        <v>51</v>
      </c>
      <c r="G14" s="60" t="s">
        <v>112</v>
      </c>
      <c r="H14" s="60"/>
      <c r="I14" s="60"/>
      <c r="J14" s="58" t="s">
        <v>53</v>
      </c>
      <c r="K14" s="58" t="s">
        <v>54</v>
      </c>
      <c r="L14" s="58" t="s">
        <v>55</v>
      </c>
      <c r="M14" s="60"/>
      <c r="N14" s="64"/>
      <c r="O14" s="60" t="s">
        <v>113</v>
      </c>
      <c r="P14" s="60" t="s">
        <v>99</v>
      </c>
      <c r="Q14" s="60" t="s">
        <v>82</v>
      </c>
      <c r="R14" s="60" t="s">
        <v>21</v>
      </c>
      <c r="S14" s="60"/>
      <c r="T14" s="60" t="s">
        <v>60</v>
      </c>
      <c r="U14" s="61" t="s">
        <v>61</v>
      </c>
    </row>
    <row r="15" spans="1:21" ht="27">
      <c r="A15" s="60" t="s">
        <v>114</v>
      </c>
      <c r="B15" s="60" t="s">
        <v>115</v>
      </c>
      <c r="C15" s="61" t="s">
        <v>49</v>
      </c>
      <c r="D15" s="61" t="s">
        <v>50</v>
      </c>
      <c r="E15" s="56" t="s">
        <v>21</v>
      </c>
      <c r="F15" s="57" t="s">
        <v>51</v>
      </c>
      <c r="G15" s="60" t="s">
        <v>116</v>
      </c>
      <c r="H15" s="60"/>
      <c r="I15" s="60"/>
      <c r="J15" s="58" t="s">
        <v>53</v>
      </c>
      <c r="K15" s="58" t="s">
        <v>54</v>
      </c>
      <c r="L15" s="58" t="s">
        <v>55</v>
      </c>
      <c r="M15" s="60"/>
      <c r="N15" s="64"/>
      <c r="O15" s="60" t="s">
        <v>117</v>
      </c>
      <c r="P15" s="60" t="s">
        <v>118</v>
      </c>
      <c r="Q15" s="60" t="s">
        <v>89</v>
      </c>
      <c r="R15" s="60" t="s">
        <v>19</v>
      </c>
      <c r="S15" s="60"/>
      <c r="T15" s="60" t="s">
        <v>119</v>
      </c>
      <c r="U15" s="61" t="s">
        <v>61</v>
      </c>
    </row>
    <row r="16" spans="1:21" ht="27">
      <c r="A16" s="60" t="s">
        <v>120</v>
      </c>
      <c r="B16" s="60" t="s">
        <v>121</v>
      </c>
      <c r="C16" s="61" t="s">
        <v>49</v>
      </c>
      <c r="D16" s="61" t="s">
        <v>50</v>
      </c>
      <c r="E16" s="56" t="s">
        <v>21</v>
      </c>
      <c r="F16" s="57" t="s">
        <v>51</v>
      </c>
      <c r="G16" s="60" t="s">
        <v>122</v>
      </c>
      <c r="H16" s="60"/>
      <c r="I16" s="60"/>
      <c r="J16" s="58" t="s">
        <v>53</v>
      </c>
      <c r="K16" s="58" t="s">
        <v>54</v>
      </c>
      <c r="L16" s="58" t="s">
        <v>55</v>
      </c>
      <c r="M16" s="60"/>
      <c r="N16" s="64"/>
      <c r="O16" s="60" t="s">
        <v>123</v>
      </c>
      <c r="P16" s="60" t="s">
        <v>124</v>
      </c>
      <c r="Q16" s="60" t="s">
        <v>89</v>
      </c>
      <c r="R16" s="60" t="s">
        <v>21</v>
      </c>
      <c r="S16" s="60"/>
      <c r="T16" s="60" t="s">
        <v>60</v>
      </c>
      <c r="U16" s="61" t="s">
        <v>61</v>
      </c>
    </row>
    <row r="17" spans="1:21" ht="27">
      <c r="A17" s="60" t="s">
        <v>125</v>
      </c>
      <c r="B17" s="60" t="s">
        <v>126</v>
      </c>
      <c r="C17" s="61" t="s">
        <v>49</v>
      </c>
      <c r="D17" s="61" t="s">
        <v>50</v>
      </c>
      <c r="E17" s="56" t="s">
        <v>21</v>
      </c>
      <c r="F17" s="57" t="s">
        <v>51</v>
      </c>
      <c r="G17" s="60" t="s">
        <v>127</v>
      </c>
      <c r="H17" s="60"/>
      <c r="I17" s="60"/>
      <c r="J17" s="58" t="s">
        <v>53</v>
      </c>
      <c r="K17" s="58" t="s">
        <v>54</v>
      </c>
      <c r="L17" s="58" t="s">
        <v>55</v>
      </c>
      <c r="M17" s="60"/>
      <c r="N17" s="64"/>
      <c r="O17" s="60" t="s">
        <v>57</v>
      </c>
      <c r="P17" s="60" t="s">
        <v>128</v>
      </c>
      <c r="Q17" s="60" t="s">
        <v>82</v>
      </c>
      <c r="R17" s="60" t="s">
        <v>19</v>
      </c>
      <c r="S17" s="60"/>
      <c r="T17" s="60" t="s">
        <v>60</v>
      </c>
      <c r="U17" s="61" t="s">
        <v>61</v>
      </c>
    </row>
    <row r="18" spans="1:21" ht="27">
      <c r="A18" s="60" t="s">
        <v>129</v>
      </c>
      <c r="B18" s="60" t="s">
        <v>130</v>
      </c>
      <c r="C18" s="61" t="s">
        <v>49</v>
      </c>
      <c r="D18" s="61" t="s">
        <v>50</v>
      </c>
      <c r="E18" s="56" t="s">
        <v>21</v>
      </c>
      <c r="F18" s="57" t="s">
        <v>51</v>
      </c>
      <c r="G18" s="60" t="s">
        <v>131</v>
      </c>
      <c r="H18" s="60"/>
      <c r="I18" s="60"/>
      <c r="J18" s="58" t="s">
        <v>53</v>
      </c>
      <c r="K18" s="58" t="s">
        <v>54</v>
      </c>
      <c r="L18" s="58" t="s">
        <v>55</v>
      </c>
      <c r="M18" s="60"/>
      <c r="N18" s="64"/>
      <c r="O18" s="60" t="s">
        <v>87</v>
      </c>
      <c r="P18" s="60" t="s">
        <v>132</v>
      </c>
      <c r="Q18" s="60" t="s">
        <v>82</v>
      </c>
      <c r="R18" s="60" t="s">
        <v>21</v>
      </c>
      <c r="S18" s="60"/>
      <c r="T18" s="60" t="s">
        <v>60</v>
      </c>
      <c r="U18" s="61" t="s">
        <v>61</v>
      </c>
    </row>
    <row r="19" spans="1:21" ht="27">
      <c r="A19" s="60" t="s">
        <v>133</v>
      </c>
      <c r="B19" s="60" t="s">
        <v>134</v>
      </c>
      <c r="C19" s="61" t="s">
        <v>49</v>
      </c>
      <c r="D19" s="61" t="s">
        <v>50</v>
      </c>
      <c r="E19" s="56" t="s">
        <v>21</v>
      </c>
      <c r="F19" s="57" t="s">
        <v>51</v>
      </c>
      <c r="G19" s="60" t="s">
        <v>135</v>
      </c>
      <c r="H19" s="60"/>
      <c r="I19" s="60"/>
      <c r="J19" s="58" t="s">
        <v>53</v>
      </c>
      <c r="K19" s="58" t="s">
        <v>54</v>
      </c>
      <c r="L19" s="58" t="s">
        <v>55</v>
      </c>
      <c r="M19" s="60"/>
      <c r="N19" s="64"/>
      <c r="O19" s="60" t="s">
        <v>93</v>
      </c>
      <c r="P19" s="60" t="s">
        <v>136</v>
      </c>
      <c r="Q19" s="60" t="s">
        <v>89</v>
      </c>
      <c r="R19" s="60" t="s">
        <v>21</v>
      </c>
      <c r="S19" s="60"/>
      <c r="T19" s="60" t="s">
        <v>60</v>
      </c>
      <c r="U19" s="61" t="s">
        <v>61</v>
      </c>
    </row>
    <row r="20" spans="1:21" ht="27">
      <c r="A20" s="60" t="s">
        <v>137</v>
      </c>
      <c r="B20" s="60" t="s">
        <v>138</v>
      </c>
      <c r="C20" s="61" t="s">
        <v>49</v>
      </c>
      <c r="D20" s="61" t="s">
        <v>50</v>
      </c>
      <c r="E20" s="56" t="s">
        <v>21</v>
      </c>
      <c r="F20" s="57" t="s">
        <v>51</v>
      </c>
      <c r="G20" s="60" t="s">
        <v>139</v>
      </c>
      <c r="H20" s="60"/>
      <c r="I20" s="60"/>
      <c r="J20" s="58" t="s">
        <v>53</v>
      </c>
      <c r="K20" s="58" t="s">
        <v>54</v>
      </c>
      <c r="L20" s="58" t="s">
        <v>55</v>
      </c>
      <c r="M20" s="60"/>
      <c r="N20" s="64"/>
      <c r="O20" s="60" t="s">
        <v>98</v>
      </c>
      <c r="P20" s="60" t="s">
        <v>140</v>
      </c>
      <c r="Q20" s="60" t="s">
        <v>82</v>
      </c>
      <c r="R20" s="60" t="s">
        <v>21</v>
      </c>
      <c r="S20" s="60"/>
      <c r="T20" s="60" t="s">
        <v>141</v>
      </c>
      <c r="U20" s="61" t="s">
        <v>61</v>
      </c>
    </row>
    <row r="21" spans="1:21" ht="27">
      <c r="A21" s="60" t="s">
        <v>142</v>
      </c>
      <c r="B21" s="60" t="s">
        <v>143</v>
      </c>
      <c r="C21" s="61" t="s">
        <v>49</v>
      </c>
      <c r="D21" s="61" t="s">
        <v>50</v>
      </c>
      <c r="E21" s="56" t="s">
        <v>21</v>
      </c>
      <c r="F21" s="57" t="s">
        <v>51</v>
      </c>
      <c r="G21" s="60" t="s">
        <v>144</v>
      </c>
      <c r="H21" s="60"/>
      <c r="I21" s="60"/>
      <c r="J21" s="58" t="s">
        <v>53</v>
      </c>
      <c r="K21" s="58" t="s">
        <v>54</v>
      </c>
      <c r="L21" s="58" t="s">
        <v>55</v>
      </c>
      <c r="M21" s="60"/>
      <c r="N21" s="64"/>
      <c r="O21" s="60" t="s">
        <v>103</v>
      </c>
      <c r="P21" s="60" t="s">
        <v>145</v>
      </c>
      <c r="Q21" s="60" t="s">
        <v>89</v>
      </c>
      <c r="R21" s="60" t="s">
        <v>19</v>
      </c>
      <c r="S21" s="60"/>
      <c r="T21" s="60" t="s">
        <v>60</v>
      </c>
      <c r="U21" s="61" t="s">
        <v>61</v>
      </c>
    </row>
    <row r="22" spans="1:21" ht="27">
      <c r="A22" s="60" t="s">
        <v>146</v>
      </c>
      <c r="B22" s="60" t="s">
        <v>147</v>
      </c>
      <c r="C22" s="61" t="s">
        <v>49</v>
      </c>
      <c r="D22" s="61" t="s">
        <v>50</v>
      </c>
      <c r="E22" s="56" t="s">
        <v>21</v>
      </c>
      <c r="F22" s="57" t="s">
        <v>51</v>
      </c>
      <c r="G22" s="60" t="s">
        <v>148</v>
      </c>
      <c r="H22" s="60"/>
      <c r="I22" s="60"/>
      <c r="J22" s="58" t="s">
        <v>53</v>
      </c>
      <c r="K22" s="58" t="s">
        <v>54</v>
      </c>
      <c r="L22" s="58" t="s">
        <v>55</v>
      </c>
      <c r="M22" s="60"/>
      <c r="N22" s="64"/>
      <c r="O22" s="60" t="s">
        <v>108</v>
      </c>
      <c r="P22" s="60" t="s">
        <v>149</v>
      </c>
      <c r="Q22" s="60" t="s">
        <v>89</v>
      </c>
      <c r="R22" s="60" t="s">
        <v>21</v>
      </c>
      <c r="S22" s="60"/>
      <c r="T22" s="60" t="s">
        <v>60</v>
      </c>
      <c r="U22" s="61" t="s">
        <v>61</v>
      </c>
    </row>
    <row r="23" spans="1:21" ht="27">
      <c r="A23" s="60" t="s">
        <v>150</v>
      </c>
      <c r="B23" s="60" t="s">
        <v>151</v>
      </c>
      <c r="C23" s="61" t="s">
        <v>49</v>
      </c>
      <c r="D23" s="61" t="s">
        <v>50</v>
      </c>
      <c r="E23" s="56" t="s">
        <v>21</v>
      </c>
      <c r="F23" s="57" t="s">
        <v>51</v>
      </c>
      <c r="G23" s="60" t="s">
        <v>152</v>
      </c>
      <c r="H23" s="60"/>
      <c r="I23" s="60"/>
      <c r="J23" s="58" t="s">
        <v>53</v>
      </c>
      <c r="K23" s="58" t="s">
        <v>54</v>
      </c>
      <c r="L23" s="58" t="s">
        <v>55</v>
      </c>
      <c r="M23" s="60"/>
      <c r="N23" s="64"/>
      <c r="O23" s="60" t="s">
        <v>153</v>
      </c>
      <c r="P23" s="60" t="s">
        <v>154</v>
      </c>
      <c r="Q23" s="60" t="s">
        <v>82</v>
      </c>
      <c r="R23" s="60" t="s">
        <v>21</v>
      </c>
      <c r="S23" s="60"/>
      <c r="T23" s="60" t="s">
        <v>60</v>
      </c>
      <c r="U23" s="61" t="s">
        <v>61</v>
      </c>
    </row>
    <row r="24" spans="1:21" ht="27">
      <c r="A24" s="60" t="s">
        <v>155</v>
      </c>
      <c r="B24" s="60" t="s">
        <v>156</v>
      </c>
      <c r="C24" s="61" t="s">
        <v>49</v>
      </c>
      <c r="D24" s="61" t="s">
        <v>50</v>
      </c>
      <c r="E24" s="56" t="s">
        <v>21</v>
      </c>
      <c r="F24" s="57" t="s">
        <v>51</v>
      </c>
      <c r="G24" s="60" t="s">
        <v>157</v>
      </c>
      <c r="H24" s="60"/>
      <c r="I24" s="60"/>
      <c r="J24" s="58" t="s">
        <v>53</v>
      </c>
      <c r="K24" s="58" t="s">
        <v>54</v>
      </c>
      <c r="L24" s="58" t="s">
        <v>55</v>
      </c>
      <c r="M24" s="60"/>
      <c r="N24" s="64"/>
      <c r="O24" s="60" t="s">
        <v>123</v>
      </c>
      <c r="P24" s="60" t="s">
        <v>158</v>
      </c>
      <c r="Q24" s="60" t="s">
        <v>82</v>
      </c>
      <c r="R24" s="60" t="s">
        <v>21</v>
      </c>
      <c r="S24" s="60"/>
      <c r="T24" s="60" t="s">
        <v>60</v>
      </c>
      <c r="U24" s="61" t="s">
        <v>61</v>
      </c>
    </row>
    <row r="25" spans="1:21" ht="27">
      <c r="A25" s="60" t="s">
        <v>159</v>
      </c>
      <c r="B25" s="60" t="s">
        <v>160</v>
      </c>
      <c r="C25" s="61" t="s">
        <v>49</v>
      </c>
      <c r="D25" s="61" t="s">
        <v>50</v>
      </c>
      <c r="E25" s="56" t="s">
        <v>21</v>
      </c>
      <c r="F25" s="57" t="s">
        <v>51</v>
      </c>
      <c r="G25" s="60" t="s">
        <v>161</v>
      </c>
      <c r="H25" s="60"/>
      <c r="I25" s="60"/>
      <c r="J25" s="58" t="s">
        <v>53</v>
      </c>
      <c r="K25" s="58" t="s">
        <v>54</v>
      </c>
      <c r="L25" s="58" t="s">
        <v>55</v>
      </c>
      <c r="M25" s="60"/>
      <c r="N25" s="64"/>
      <c r="O25" s="60" t="s">
        <v>117</v>
      </c>
      <c r="P25" s="60" t="s">
        <v>162</v>
      </c>
      <c r="Q25" s="60" t="s">
        <v>89</v>
      </c>
      <c r="R25" s="60" t="s">
        <v>21</v>
      </c>
      <c r="S25" s="60"/>
      <c r="T25" s="60" t="s">
        <v>60</v>
      </c>
      <c r="U25" s="61" t="s">
        <v>61</v>
      </c>
    </row>
    <row r="26" spans="1:21" ht="27">
      <c r="A26" s="60" t="s">
        <v>163</v>
      </c>
      <c r="B26" s="60" t="s">
        <v>164</v>
      </c>
      <c r="C26" s="61" t="s">
        <v>49</v>
      </c>
      <c r="D26" s="61" t="s">
        <v>50</v>
      </c>
      <c r="E26" s="56" t="s">
        <v>21</v>
      </c>
      <c r="F26" s="57" t="s">
        <v>51</v>
      </c>
      <c r="G26" s="60" t="s">
        <v>165</v>
      </c>
      <c r="H26" s="60"/>
      <c r="I26" s="60"/>
      <c r="J26" s="58" t="s">
        <v>53</v>
      </c>
      <c r="K26" s="58" t="s">
        <v>54</v>
      </c>
      <c r="L26" s="58" t="s">
        <v>55</v>
      </c>
      <c r="M26" s="60"/>
      <c r="N26" s="64"/>
      <c r="O26" s="60" t="s">
        <v>166</v>
      </c>
      <c r="P26" s="60" t="s">
        <v>167</v>
      </c>
      <c r="Q26" s="60" t="s">
        <v>82</v>
      </c>
      <c r="R26" s="60" t="s">
        <v>21</v>
      </c>
      <c r="S26" s="60"/>
      <c r="T26" s="60" t="s">
        <v>60</v>
      </c>
      <c r="U26" s="61" t="s">
        <v>61</v>
      </c>
    </row>
    <row r="27" spans="1:21" ht="27">
      <c r="A27" s="60" t="s">
        <v>168</v>
      </c>
      <c r="B27" s="60" t="s">
        <v>169</v>
      </c>
      <c r="C27" s="61" t="s">
        <v>49</v>
      </c>
      <c r="D27" s="61" t="s">
        <v>50</v>
      </c>
      <c r="E27" s="56" t="s">
        <v>21</v>
      </c>
      <c r="F27" s="57" t="s">
        <v>51</v>
      </c>
      <c r="G27" s="60" t="s">
        <v>170</v>
      </c>
      <c r="H27" s="60"/>
      <c r="I27" s="60"/>
      <c r="J27" s="58" t="s">
        <v>53</v>
      </c>
      <c r="K27" s="58" t="s">
        <v>54</v>
      </c>
      <c r="L27" s="58" t="s">
        <v>55</v>
      </c>
      <c r="M27" s="60"/>
      <c r="N27" s="64"/>
      <c r="O27" s="60" t="s">
        <v>57</v>
      </c>
      <c r="P27" s="60" t="s">
        <v>171</v>
      </c>
      <c r="Q27" s="60" t="s">
        <v>82</v>
      </c>
      <c r="R27" s="60" t="s">
        <v>19</v>
      </c>
      <c r="S27" s="60" t="s">
        <v>172</v>
      </c>
      <c r="T27" s="60" t="s">
        <v>83</v>
      </c>
      <c r="U27" s="61" t="s">
        <v>61</v>
      </c>
    </row>
    <row r="28" spans="1:21" ht="27">
      <c r="A28" s="60" t="s">
        <v>173</v>
      </c>
      <c r="B28" s="60" t="s">
        <v>174</v>
      </c>
      <c r="C28" s="61" t="s">
        <v>49</v>
      </c>
      <c r="D28" s="61" t="s">
        <v>50</v>
      </c>
      <c r="E28" s="56" t="s">
        <v>21</v>
      </c>
      <c r="F28" s="57" t="s">
        <v>51</v>
      </c>
      <c r="G28" s="60" t="s">
        <v>175</v>
      </c>
      <c r="H28" s="60"/>
      <c r="I28" s="60"/>
      <c r="J28" s="58" t="s">
        <v>53</v>
      </c>
      <c r="K28" s="58" t="s">
        <v>54</v>
      </c>
      <c r="L28" s="58" t="s">
        <v>55</v>
      </c>
      <c r="M28" s="60"/>
      <c r="N28" s="64"/>
      <c r="O28" s="60" t="s">
        <v>87</v>
      </c>
      <c r="P28" s="60" t="s">
        <v>176</v>
      </c>
      <c r="Q28" s="60" t="s">
        <v>82</v>
      </c>
      <c r="R28" s="60" t="s">
        <v>21</v>
      </c>
      <c r="S28" s="60" t="s">
        <v>177</v>
      </c>
      <c r="T28" s="60" t="s">
        <v>83</v>
      </c>
      <c r="U28" s="61" t="s">
        <v>61</v>
      </c>
    </row>
    <row r="29" spans="1:21" ht="27">
      <c r="A29" s="60" t="s">
        <v>178</v>
      </c>
      <c r="B29" s="60" t="s">
        <v>179</v>
      </c>
      <c r="C29" s="61" t="s">
        <v>49</v>
      </c>
      <c r="D29" s="61" t="s">
        <v>50</v>
      </c>
      <c r="E29" s="56" t="s">
        <v>21</v>
      </c>
      <c r="F29" s="57" t="s">
        <v>51</v>
      </c>
      <c r="G29" s="60" t="s">
        <v>180</v>
      </c>
      <c r="H29" s="60"/>
      <c r="I29" s="60"/>
      <c r="J29" s="58" t="s">
        <v>53</v>
      </c>
      <c r="K29" s="58" t="s">
        <v>54</v>
      </c>
      <c r="L29" s="58" t="s">
        <v>55</v>
      </c>
      <c r="M29" s="60"/>
      <c r="N29" s="64"/>
      <c r="O29" s="60" t="s">
        <v>93</v>
      </c>
      <c r="P29" s="60" t="s">
        <v>181</v>
      </c>
      <c r="Q29" s="60" t="s">
        <v>89</v>
      </c>
      <c r="R29" s="60" t="s">
        <v>21</v>
      </c>
      <c r="S29" s="60"/>
      <c r="T29" s="60" t="s">
        <v>60</v>
      </c>
      <c r="U29" s="61" t="s">
        <v>61</v>
      </c>
    </row>
    <row r="30" spans="1:21" ht="27">
      <c r="A30" s="60" t="s">
        <v>182</v>
      </c>
      <c r="B30" s="60" t="s">
        <v>183</v>
      </c>
      <c r="C30" s="61" t="s">
        <v>49</v>
      </c>
      <c r="D30" s="61" t="s">
        <v>50</v>
      </c>
      <c r="E30" s="56" t="s">
        <v>21</v>
      </c>
      <c r="F30" s="57" t="s">
        <v>51</v>
      </c>
      <c r="G30" s="60" t="s">
        <v>184</v>
      </c>
      <c r="H30" s="60"/>
      <c r="I30" s="60"/>
      <c r="J30" s="58" t="s">
        <v>53</v>
      </c>
      <c r="K30" s="58" t="s">
        <v>54</v>
      </c>
      <c r="L30" s="58" t="s">
        <v>55</v>
      </c>
      <c r="M30" s="60"/>
      <c r="N30" s="64"/>
      <c r="O30" s="60" t="s">
        <v>98</v>
      </c>
      <c r="P30" s="60" t="s">
        <v>185</v>
      </c>
      <c r="Q30" s="60" t="s">
        <v>82</v>
      </c>
      <c r="R30" s="60" t="s">
        <v>21</v>
      </c>
      <c r="S30" s="60" t="s">
        <v>172</v>
      </c>
      <c r="T30" s="60" t="s">
        <v>83</v>
      </c>
      <c r="U30" s="61" t="s">
        <v>61</v>
      </c>
    </row>
    <row r="31" spans="1:21" ht="27">
      <c r="A31" s="60" t="s">
        <v>186</v>
      </c>
      <c r="B31" s="60" t="s">
        <v>187</v>
      </c>
      <c r="C31" s="61" t="s">
        <v>49</v>
      </c>
      <c r="D31" s="61" t="s">
        <v>50</v>
      </c>
      <c r="E31" s="56" t="s">
        <v>21</v>
      </c>
      <c r="F31" s="57" t="s">
        <v>51</v>
      </c>
      <c r="G31" s="60" t="s">
        <v>188</v>
      </c>
      <c r="H31" s="60"/>
      <c r="I31" s="60"/>
      <c r="J31" s="58" t="s">
        <v>53</v>
      </c>
      <c r="K31" s="58" t="s">
        <v>54</v>
      </c>
      <c r="L31" s="58" t="s">
        <v>55</v>
      </c>
      <c r="M31" s="60"/>
      <c r="N31" s="64"/>
      <c r="O31" s="60" t="s">
        <v>103</v>
      </c>
      <c r="P31" s="60" t="s">
        <v>189</v>
      </c>
      <c r="Q31" s="60" t="s">
        <v>82</v>
      </c>
      <c r="R31" s="60" t="s">
        <v>19</v>
      </c>
      <c r="S31" s="60" t="s">
        <v>172</v>
      </c>
      <c r="T31" s="60" t="s">
        <v>83</v>
      </c>
      <c r="U31" s="61" t="s">
        <v>61</v>
      </c>
    </row>
    <row r="32" spans="1:21" ht="27">
      <c r="A32" s="60" t="s">
        <v>190</v>
      </c>
      <c r="B32" s="60" t="s">
        <v>191</v>
      </c>
      <c r="C32" s="61" t="s">
        <v>49</v>
      </c>
      <c r="D32" s="61" t="s">
        <v>50</v>
      </c>
      <c r="E32" s="56" t="s">
        <v>21</v>
      </c>
      <c r="F32" s="57" t="s">
        <v>51</v>
      </c>
      <c r="G32" s="60" t="s">
        <v>192</v>
      </c>
      <c r="H32" s="60"/>
      <c r="I32" s="60"/>
      <c r="J32" s="58" t="s">
        <v>53</v>
      </c>
      <c r="K32" s="58" t="s">
        <v>54</v>
      </c>
      <c r="L32" s="58" t="s">
        <v>55</v>
      </c>
      <c r="M32" s="60"/>
      <c r="N32" s="64"/>
      <c r="O32" s="60" t="s">
        <v>108</v>
      </c>
      <c r="P32" s="60" t="s">
        <v>193</v>
      </c>
      <c r="Q32" s="60" t="s">
        <v>82</v>
      </c>
      <c r="R32" s="60" t="s">
        <v>21</v>
      </c>
      <c r="S32" s="60" t="s">
        <v>194</v>
      </c>
      <c r="T32" s="60" t="s">
        <v>83</v>
      </c>
      <c r="U32" s="61" t="s">
        <v>61</v>
      </c>
    </row>
    <row r="33" spans="1:21" ht="27">
      <c r="A33" s="60" t="s">
        <v>195</v>
      </c>
      <c r="B33" s="60" t="s">
        <v>196</v>
      </c>
      <c r="C33" s="61" t="s">
        <v>49</v>
      </c>
      <c r="D33" s="61" t="s">
        <v>50</v>
      </c>
      <c r="E33" s="56" t="s">
        <v>21</v>
      </c>
      <c r="F33" s="57" t="s">
        <v>51</v>
      </c>
      <c r="G33" s="60" t="s">
        <v>197</v>
      </c>
      <c r="H33" s="60"/>
      <c r="I33" s="60"/>
      <c r="J33" s="58" t="s">
        <v>53</v>
      </c>
      <c r="K33" s="58" t="s">
        <v>54</v>
      </c>
      <c r="L33" s="58" t="s">
        <v>55</v>
      </c>
      <c r="M33" s="60"/>
      <c r="N33" s="64"/>
      <c r="O33" s="60" t="s">
        <v>153</v>
      </c>
      <c r="P33" s="60" t="s">
        <v>198</v>
      </c>
      <c r="Q33" s="60" t="s">
        <v>82</v>
      </c>
      <c r="R33" s="60" t="s">
        <v>19</v>
      </c>
      <c r="S33" s="60" t="s">
        <v>199</v>
      </c>
      <c r="T33" s="60" t="s">
        <v>83</v>
      </c>
      <c r="U33" s="61" t="s">
        <v>61</v>
      </c>
    </row>
    <row r="34" spans="1:21" ht="27">
      <c r="A34" s="60" t="s">
        <v>200</v>
      </c>
      <c r="B34" s="60" t="s">
        <v>201</v>
      </c>
      <c r="C34" s="61" t="s">
        <v>49</v>
      </c>
      <c r="D34" s="61" t="s">
        <v>50</v>
      </c>
      <c r="E34" s="56" t="s">
        <v>21</v>
      </c>
      <c r="F34" s="57" t="s">
        <v>51</v>
      </c>
      <c r="G34" s="60" t="s">
        <v>202</v>
      </c>
      <c r="H34" s="60"/>
      <c r="I34" s="60"/>
      <c r="J34" s="58" t="s">
        <v>53</v>
      </c>
      <c r="K34" s="58" t="s">
        <v>54</v>
      </c>
      <c r="L34" s="58" t="s">
        <v>55</v>
      </c>
      <c r="M34" s="60"/>
      <c r="N34" s="64"/>
      <c r="O34" s="60" t="s">
        <v>166</v>
      </c>
      <c r="P34" s="60" t="s">
        <v>203</v>
      </c>
      <c r="Q34" s="60" t="s">
        <v>82</v>
      </c>
      <c r="R34" s="60" t="s">
        <v>19</v>
      </c>
      <c r="S34" s="60" t="s">
        <v>204</v>
      </c>
      <c r="T34" s="60" t="s">
        <v>83</v>
      </c>
      <c r="U34" s="61" t="s">
        <v>61</v>
      </c>
    </row>
    <row r="35" spans="1:21" ht="27">
      <c r="A35" s="60" t="s">
        <v>205</v>
      </c>
      <c r="B35" s="60" t="s">
        <v>206</v>
      </c>
      <c r="C35" s="61" t="s">
        <v>49</v>
      </c>
      <c r="D35" s="61" t="s">
        <v>50</v>
      </c>
      <c r="E35" s="56" t="s">
        <v>21</v>
      </c>
      <c r="F35" s="57" t="s">
        <v>51</v>
      </c>
      <c r="G35" s="60" t="s">
        <v>207</v>
      </c>
      <c r="H35" s="60"/>
      <c r="I35" s="60"/>
      <c r="J35" s="58" t="s">
        <v>53</v>
      </c>
      <c r="K35" s="58" t="s">
        <v>54</v>
      </c>
      <c r="L35" s="58" t="s">
        <v>55</v>
      </c>
      <c r="M35" s="60"/>
      <c r="N35" s="64"/>
      <c r="O35" s="60" t="s">
        <v>108</v>
      </c>
      <c r="P35" s="60" t="s">
        <v>208</v>
      </c>
      <c r="Q35" s="60" t="s">
        <v>82</v>
      </c>
      <c r="R35" s="60" t="s">
        <v>21</v>
      </c>
      <c r="S35" s="60"/>
      <c r="T35" s="60" t="s">
        <v>83</v>
      </c>
      <c r="U35" s="61" t="s">
        <v>61</v>
      </c>
    </row>
    <row r="36" spans="1:21" ht="27">
      <c r="A36" s="60" t="s">
        <v>209</v>
      </c>
      <c r="B36" s="60" t="s">
        <v>210</v>
      </c>
      <c r="C36" s="61" t="s">
        <v>49</v>
      </c>
      <c r="D36" s="61" t="s">
        <v>50</v>
      </c>
      <c r="E36" s="56" t="s">
        <v>21</v>
      </c>
      <c r="F36" s="57" t="s">
        <v>51</v>
      </c>
      <c r="G36" s="60" t="s">
        <v>211</v>
      </c>
      <c r="H36" s="60"/>
      <c r="I36" s="60"/>
      <c r="J36" s="58" t="s">
        <v>53</v>
      </c>
      <c r="K36" s="58" t="s">
        <v>54</v>
      </c>
      <c r="L36" s="58" t="s">
        <v>55</v>
      </c>
      <c r="M36" s="60"/>
      <c r="N36" s="64"/>
      <c r="O36" s="60" t="s">
        <v>103</v>
      </c>
      <c r="P36" s="60" t="s">
        <v>212</v>
      </c>
      <c r="Q36" s="60" t="s">
        <v>82</v>
      </c>
      <c r="R36" s="60" t="s">
        <v>19</v>
      </c>
      <c r="S36" s="60"/>
      <c r="T36" s="60" t="s">
        <v>141</v>
      </c>
      <c r="U36" s="61" t="s">
        <v>61</v>
      </c>
    </row>
    <row r="37" spans="1:21" ht="27">
      <c r="A37" s="60" t="s">
        <v>213</v>
      </c>
      <c r="B37" s="60" t="s">
        <v>214</v>
      </c>
      <c r="C37" s="61" t="s">
        <v>49</v>
      </c>
      <c r="D37" s="61" t="s">
        <v>50</v>
      </c>
      <c r="E37" s="56" t="s">
        <v>21</v>
      </c>
      <c r="F37" s="57" t="s">
        <v>51</v>
      </c>
      <c r="G37" s="60" t="s">
        <v>215</v>
      </c>
      <c r="H37" s="60"/>
      <c r="I37" s="60"/>
      <c r="J37" s="58" t="s">
        <v>53</v>
      </c>
      <c r="K37" s="58" t="s">
        <v>54</v>
      </c>
      <c r="L37" s="58" t="s">
        <v>55</v>
      </c>
      <c r="M37" s="60"/>
      <c r="N37" s="64"/>
      <c r="O37" s="60" t="s">
        <v>87</v>
      </c>
      <c r="P37" s="60" t="s">
        <v>216</v>
      </c>
      <c r="Q37" s="60" t="s">
        <v>82</v>
      </c>
      <c r="R37" s="60" t="s">
        <v>21</v>
      </c>
      <c r="S37" s="60"/>
      <c r="T37" s="60" t="s">
        <v>141</v>
      </c>
      <c r="U37" s="61" t="s">
        <v>61</v>
      </c>
    </row>
    <row r="38" spans="1:21" ht="27">
      <c r="A38" s="60" t="s">
        <v>217</v>
      </c>
      <c r="B38" s="60" t="s">
        <v>218</v>
      </c>
      <c r="C38" s="61" t="s">
        <v>49</v>
      </c>
      <c r="D38" s="61" t="s">
        <v>50</v>
      </c>
      <c r="E38" s="56" t="s">
        <v>21</v>
      </c>
      <c r="F38" s="57" t="s">
        <v>51</v>
      </c>
      <c r="G38" s="60" t="s">
        <v>219</v>
      </c>
      <c r="H38" s="60"/>
      <c r="I38" s="60"/>
      <c r="J38" s="58" t="s">
        <v>53</v>
      </c>
      <c r="K38" s="58" t="s">
        <v>54</v>
      </c>
      <c r="L38" s="58" t="s">
        <v>55</v>
      </c>
      <c r="M38" s="60"/>
      <c r="N38" s="64"/>
      <c r="O38" s="60" t="s">
        <v>113</v>
      </c>
      <c r="P38" s="60" t="s">
        <v>220</v>
      </c>
      <c r="Q38" s="60" t="s">
        <v>82</v>
      </c>
      <c r="R38" s="60" t="s">
        <v>21</v>
      </c>
      <c r="S38" s="60"/>
      <c r="T38" s="60" t="s">
        <v>141</v>
      </c>
      <c r="U38" s="61" t="s">
        <v>61</v>
      </c>
    </row>
    <row r="39" spans="1:21">
      <c r="A39" s="60" t="s">
        <v>221</v>
      </c>
      <c r="B39" s="60" t="s">
        <v>222</v>
      </c>
      <c r="C39" s="61" t="s">
        <v>49</v>
      </c>
      <c r="D39" s="61" t="s">
        <v>50</v>
      </c>
      <c r="E39" s="56" t="s">
        <v>21</v>
      </c>
      <c r="F39" s="57" t="s">
        <v>51</v>
      </c>
      <c r="G39" s="60" t="s">
        <v>223</v>
      </c>
      <c r="H39" s="60"/>
      <c r="I39" s="60"/>
      <c r="J39" s="58" t="s">
        <v>53</v>
      </c>
      <c r="K39" s="58" t="s">
        <v>54</v>
      </c>
      <c r="L39" s="58" t="s">
        <v>55</v>
      </c>
      <c r="M39" s="60"/>
      <c r="N39" s="64"/>
      <c r="O39" s="60" t="s">
        <v>153</v>
      </c>
      <c r="P39" s="60" t="s">
        <v>224</v>
      </c>
      <c r="Q39" s="60" t="s">
        <v>82</v>
      </c>
      <c r="R39" s="60" t="s">
        <v>21</v>
      </c>
      <c r="S39" s="60"/>
      <c r="T39" s="60" t="s">
        <v>141</v>
      </c>
      <c r="U39" s="61" t="s">
        <v>61</v>
      </c>
    </row>
    <row r="40" spans="1:21" ht="27">
      <c r="A40" s="60" t="s">
        <v>225</v>
      </c>
      <c r="B40" s="60" t="s">
        <v>226</v>
      </c>
      <c r="C40" s="61" t="s">
        <v>49</v>
      </c>
      <c r="D40" s="61" t="s">
        <v>50</v>
      </c>
      <c r="E40" s="56" t="s">
        <v>21</v>
      </c>
      <c r="F40" s="57" t="s">
        <v>51</v>
      </c>
      <c r="G40" s="60" t="s">
        <v>139</v>
      </c>
      <c r="H40" s="60"/>
      <c r="I40" s="60"/>
      <c r="J40" s="58" t="s">
        <v>53</v>
      </c>
      <c r="K40" s="58" t="s">
        <v>54</v>
      </c>
      <c r="L40" s="58" t="s">
        <v>55</v>
      </c>
      <c r="M40" s="60"/>
      <c r="N40" s="64"/>
      <c r="O40" s="60" t="s">
        <v>57</v>
      </c>
      <c r="P40" s="60" t="s">
        <v>227</v>
      </c>
      <c r="Q40" s="60" t="s">
        <v>82</v>
      </c>
      <c r="R40" s="60" t="s">
        <v>19</v>
      </c>
      <c r="S40" s="60"/>
      <c r="T40" s="60" t="s">
        <v>228</v>
      </c>
      <c r="U40" s="61" t="s">
        <v>61</v>
      </c>
    </row>
    <row r="41" spans="1:21" ht="40.5">
      <c r="A41" s="60" t="s">
        <v>229</v>
      </c>
      <c r="B41" s="60" t="s">
        <v>230</v>
      </c>
      <c r="C41" s="61" t="s">
        <v>49</v>
      </c>
      <c r="D41" s="61" t="s">
        <v>50</v>
      </c>
      <c r="E41" s="56" t="s">
        <v>21</v>
      </c>
      <c r="F41" s="57" t="s">
        <v>51</v>
      </c>
      <c r="G41" s="60" t="s">
        <v>231</v>
      </c>
      <c r="H41" s="60"/>
      <c r="I41" s="60"/>
      <c r="J41" s="58" t="s">
        <v>53</v>
      </c>
      <c r="K41" s="58" t="s">
        <v>54</v>
      </c>
      <c r="L41" s="58" t="s">
        <v>55</v>
      </c>
      <c r="M41" s="60"/>
      <c r="N41" s="64"/>
      <c r="O41" s="60" t="s">
        <v>232</v>
      </c>
      <c r="P41" s="60" t="s">
        <v>233</v>
      </c>
      <c r="Q41" s="60" t="s">
        <v>89</v>
      </c>
      <c r="R41" s="60" t="s">
        <v>21</v>
      </c>
      <c r="S41" s="60"/>
      <c r="T41" s="60" t="s">
        <v>141</v>
      </c>
      <c r="U41" s="61" t="s">
        <v>61</v>
      </c>
    </row>
    <row r="42" spans="1:21">
      <c r="A42" s="60" t="s">
        <v>234</v>
      </c>
      <c r="B42" s="60" t="s">
        <v>235</v>
      </c>
      <c r="C42" s="61" t="s">
        <v>49</v>
      </c>
      <c r="D42" s="61" t="s">
        <v>50</v>
      </c>
      <c r="E42" s="56" t="s">
        <v>21</v>
      </c>
      <c r="F42" s="57" t="s">
        <v>51</v>
      </c>
      <c r="G42" s="60" t="s">
        <v>236</v>
      </c>
      <c r="H42" s="60"/>
      <c r="I42" s="60"/>
      <c r="J42" s="58" t="s">
        <v>53</v>
      </c>
      <c r="K42" s="58" t="s">
        <v>54</v>
      </c>
      <c r="L42" s="58" t="s">
        <v>55</v>
      </c>
      <c r="M42" s="60"/>
      <c r="N42" s="64"/>
      <c r="O42" s="60" t="s">
        <v>237</v>
      </c>
      <c r="P42" s="60" t="s">
        <v>238</v>
      </c>
      <c r="Q42" s="60" t="s">
        <v>82</v>
      </c>
      <c r="R42" s="60" t="s">
        <v>19</v>
      </c>
      <c r="S42" s="60"/>
      <c r="T42" s="60" t="s">
        <v>228</v>
      </c>
      <c r="U42" s="61" t="s">
        <v>61</v>
      </c>
    </row>
    <row r="43" spans="1:21" ht="27">
      <c r="A43" s="60" t="s">
        <v>239</v>
      </c>
      <c r="B43" s="60" t="s">
        <v>240</v>
      </c>
      <c r="C43" s="61" t="s">
        <v>49</v>
      </c>
      <c r="D43" s="61" t="s">
        <v>50</v>
      </c>
      <c r="E43" s="56" t="s">
        <v>21</v>
      </c>
      <c r="F43" s="57" t="s">
        <v>51</v>
      </c>
      <c r="G43" s="60" t="s">
        <v>241</v>
      </c>
      <c r="H43" s="60"/>
      <c r="I43" s="60"/>
      <c r="J43" s="58" t="s">
        <v>53</v>
      </c>
      <c r="K43" s="58" t="s">
        <v>54</v>
      </c>
      <c r="L43" s="58" t="s">
        <v>55</v>
      </c>
      <c r="M43" s="60"/>
      <c r="N43" s="64"/>
      <c r="O43" s="60" t="s">
        <v>166</v>
      </c>
      <c r="P43" s="60" t="s">
        <v>242</v>
      </c>
      <c r="Q43" s="60" t="s">
        <v>82</v>
      </c>
      <c r="R43" s="60" t="s">
        <v>19</v>
      </c>
      <c r="S43" s="60"/>
      <c r="T43" s="60" t="s">
        <v>228</v>
      </c>
      <c r="U43" s="61" t="s">
        <v>61</v>
      </c>
    </row>
    <row r="44" spans="1:21" ht="27">
      <c r="A44" s="60" t="s">
        <v>243</v>
      </c>
      <c r="B44" s="60" t="s">
        <v>244</v>
      </c>
      <c r="C44" s="61" t="s">
        <v>49</v>
      </c>
      <c r="D44" s="61" t="s">
        <v>50</v>
      </c>
      <c r="E44" s="56" t="s">
        <v>21</v>
      </c>
      <c r="F44" s="57" t="s">
        <v>51</v>
      </c>
      <c r="G44" s="60" t="s">
        <v>245</v>
      </c>
      <c r="H44" s="60"/>
      <c r="I44" s="60"/>
      <c r="J44" s="58" t="s">
        <v>53</v>
      </c>
      <c r="K44" s="58" t="s">
        <v>54</v>
      </c>
      <c r="L44" s="58" t="s">
        <v>55</v>
      </c>
      <c r="M44" s="60"/>
      <c r="N44" s="64"/>
      <c r="O44" s="60" t="s">
        <v>93</v>
      </c>
      <c r="P44" s="60" t="s">
        <v>246</v>
      </c>
      <c r="Q44" s="60" t="s">
        <v>89</v>
      </c>
      <c r="R44" s="60" t="s">
        <v>19</v>
      </c>
      <c r="S44" s="60"/>
      <c r="T44" s="60" t="s">
        <v>119</v>
      </c>
      <c r="U44" s="61" t="s">
        <v>61</v>
      </c>
    </row>
    <row r="45" spans="1:21">
      <c r="A45" s="60" t="s">
        <v>247</v>
      </c>
      <c r="B45" s="60" t="s">
        <v>248</v>
      </c>
      <c r="C45" s="61" t="s">
        <v>49</v>
      </c>
      <c r="D45" s="61" t="s">
        <v>50</v>
      </c>
      <c r="E45" s="56" t="s">
        <v>21</v>
      </c>
      <c r="F45" s="57" t="s">
        <v>51</v>
      </c>
      <c r="G45" s="60" t="s">
        <v>249</v>
      </c>
      <c r="H45" s="60"/>
      <c r="I45" s="60"/>
      <c r="J45" s="58" t="s">
        <v>53</v>
      </c>
      <c r="K45" s="58" t="s">
        <v>54</v>
      </c>
      <c r="L45" s="58" t="s">
        <v>55</v>
      </c>
      <c r="M45" s="60"/>
      <c r="N45" s="64"/>
      <c r="O45" s="60" t="s">
        <v>232</v>
      </c>
      <c r="P45" s="60" t="s">
        <v>250</v>
      </c>
      <c r="Q45" s="60" t="s">
        <v>82</v>
      </c>
      <c r="R45" s="60" t="s">
        <v>19</v>
      </c>
      <c r="S45" s="60"/>
      <c r="T45" s="60" t="s">
        <v>119</v>
      </c>
      <c r="U45" s="61" t="s">
        <v>61</v>
      </c>
    </row>
    <row r="46" spans="1:21" ht="27">
      <c r="A46" s="60" t="s">
        <v>251</v>
      </c>
      <c r="B46" s="60" t="s">
        <v>252</v>
      </c>
      <c r="C46" s="61" t="s">
        <v>49</v>
      </c>
      <c r="D46" s="61" t="s">
        <v>50</v>
      </c>
      <c r="E46" s="56" t="s">
        <v>21</v>
      </c>
      <c r="F46" s="57" t="s">
        <v>51</v>
      </c>
      <c r="G46" s="60" t="s">
        <v>253</v>
      </c>
      <c r="H46" s="60"/>
      <c r="I46" s="60"/>
      <c r="J46" s="58" t="s">
        <v>53</v>
      </c>
      <c r="K46" s="58" t="s">
        <v>54</v>
      </c>
      <c r="L46" s="58" t="s">
        <v>55</v>
      </c>
      <c r="M46" s="60"/>
      <c r="N46" s="64"/>
      <c r="O46" s="60" t="s">
        <v>113</v>
      </c>
      <c r="P46" s="60" t="s">
        <v>254</v>
      </c>
      <c r="Q46" s="60" t="s">
        <v>82</v>
      </c>
      <c r="R46" s="60" t="s">
        <v>19</v>
      </c>
      <c r="S46" s="60"/>
      <c r="T46" s="60" t="s">
        <v>141</v>
      </c>
      <c r="U46" s="61" t="s">
        <v>61</v>
      </c>
    </row>
    <row r="47" spans="1:21" ht="27">
      <c r="A47" s="60" t="s">
        <v>255</v>
      </c>
      <c r="B47" s="60" t="s">
        <v>256</v>
      </c>
      <c r="C47" s="61" t="s">
        <v>49</v>
      </c>
      <c r="D47" s="61" t="s">
        <v>50</v>
      </c>
      <c r="E47" s="56" t="s">
        <v>21</v>
      </c>
      <c r="F47" s="57" t="s">
        <v>51</v>
      </c>
      <c r="G47" s="60" t="s">
        <v>257</v>
      </c>
      <c r="H47" s="60"/>
      <c r="I47" s="60"/>
      <c r="J47" s="58" t="s">
        <v>53</v>
      </c>
      <c r="K47" s="58" t="s">
        <v>54</v>
      </c>
      <c r="L47" s="58" t="s">
        <v>55</v>
      </c>
      <c r="M47" s="60"/>
      <c r="N47" s="64"/>
      <c r="O47" s="60" t="s">
        <v>57</v>
      </c>
      <c r="P47" s="60" t="s">
        <v>258</v>
      </c>
      <c r="Q47" s="60" t="s">
        <v>82</v>
      </c>
      <c r="R47" s="60" t="s">
        <v>19</v>
      </c>
      <c r="S47" s="60"/>
      <c r="T47" s="60" t="s">
        <v>119</v>
      </c>
      <c r="U47" s="61" t="s">
        <v>61</v>
      </c>
    </row>
    <row r="48" spans="1:21" ht="27">
      <c r="A48" s="60" t="s">
        <v>259</v>
      </c>
      <c r="B48" s="60" t="s">
        <v>260</v>
      </c>
      <c r="C48" s="61" t="s">
        <v>49</v>
      </c>
      <c r="D48" s="61" t="s">
        <v>50</v>
      </c>
      <c r="E48" s="56" t="s">
        <v>21</v>
      </c>
      <c r="F48" s="57" t="s">
        <v>51</v>
      </c>
      <c r="G48" s="60" t="s">
        <v>261</v>
      </c>
      <c r="H48" s="60"/>
      <c r="I48" s="60"/>
      <c r="J48" s="58" t="s">
        <v>53</v>
      </c>
      <c r="K48" s="58" t="s">
        <v>54</v>
      </c>
      <c r="L48" s="58" t="s">
        <v>55</v>
      </c>
      <c r="M48" s="60"/>
      <c r="N48" s="64"/>
      <c r="O48" s="60" t="s">
        <v>103</v>
      </c>
      <c r="P48" s="60" t="s">
        <v>262</v>
      </c>
      <c r="Q48" s="60" t="s">
        <v>82</v>
      </c>
      <c r="R48" s="60" t="s">
        <v>19</v>
      </c>
      <c r="S48" s="60"/>
      <c r="T48" s="60" t="s">
        <v>119</v>
      </c>
      <c r="U48" s="61" t="s">
        <v>61</v>
      </c>
    </row>
    <row r="49" spans="1:21" ht="27">
      <c r="A49" s="60" t="s">
        <v>263</v>
      </c>
      <c r="B49" s="60" t="s">
        <v>264</v>
      </c>
      <c r="C49" s="61" t="s">
        <v>49</v>
      </c>
      <c r="D49" s="61" t="s">
        <v>50</v>
      </c>
      <c r="E49" s="56" t="s">
        <v>21</v>
      </c>
      <c r="F49" s="57" t="s">
        <v>51</v>
      </c>
      <c r="G49" s="60" t="s">
        <v>265</v>
      </c>
      <c r="H49" s="60"/>
      <c r="I49" s="60"/>
      <c r="J49" s="58" t="s">
        <v>53</v>
      </c>
      <c r="K49" s="58" t="s">
        <v>54</v>
      </c>
      <c r="L49" s="58" t="s">
        <v>55</v>
      </c>
      <c r="M49" s="60"/>
      <c r="N49" s="64"/>
      <c r="O49" s="60" t="s">
        <v>166</v>
      </c>
      <c r="P49" s="60" t="s">
        <v>266</v>
      </c>
      <c r="Q49" s="60" t="s">
        <v>82</v>
      </c>
      <c r="R49" s="60" t="s">
        <v>21</v>
      </c>
      <c r="S49" s="60"/>
      <c r="T49" s="60" t="s">
        <v>119</v>
      </c>
      <c r="U49" s="61" t="s">
        <v>61</v>
      </c>
    </row>
    <row r="50" spans="1:21">
      <c r="A50" s="60" t="s">
        <v>267</v>
      </c>
      <c r="B50" s="60" t="s">
        <v>268</v>
      </c>
      <c r="C50" s="61" t="s">
        <v>49</v>
      </c>
      <c r="D50" s="61" t="s">
        <v>50</v>
      </c>
      <c r="E50" s="56" t="s">
        <v>21</v>
      </c>
      <c r="F50" s="57" t="s">
        <v>51</v>
      </c>
      <c r="G50" s="60" t="s">
        <v>269</v>
      </c>
      <c r="H50" s="60"/>
      <c r="I50" s="60"/>
      <c r="J50" s="58" t="s">
        <v>53</v>
      </c>
      <c r="K50" s="58" t="s">
        <v>54</v>
      </c>
      <c r="L50" s="58" t="s">
        <v>55</v>
      </c>
      <c r="M50" s="60"/>
      <c r="N50" s="64"/>
      <c r="O50" s="60" t="s">
        <v>117</v>
      </c>
      <c r="P50" s="60" t="s">
        <v>158</v>
      </c>
      <c r="Q50" s="60" t="s">
        <v>59</v>
      </c>
      <c r="R50" s="60" t="s">
        <v>21</v>
      </c>
      <c r="S50" s="60"/>
      <c r="T50" s="60" t="s">
        <v>60</v>
      </c>
      <c r="U50" s="61" t="s">
        <v>61</v>
      </c>
    </row>
    <row r="51" spans="1:21" ht="27">
      <c r="A51" s="60" t="s">
        <v>270</v>
      </c>
      <c r="B51" s="60" t="s">
        <v>271</v>
      </c>
      <c r="C51" s="61" t="s">
        <v>49</v>
      </c>
      <c r="D51" s="61" t="s">
        <v>50</v>
      </c>
      <c r="E51" s="56" t="s">
        <v>21</v>
      </c>
      <c r="F51" s="57" t="s">
        <v>51</v>
      </c>
      <c r="G51" s="60" t="s">
        <v>272</v>
      </c>
      <c r="H51" s="60"/>
      <c r="I51" s="60"/>
      <c r="J51" s="58" t="s">
        <v>53</v>
      </c>
      <c r="K51" s="58" t="s">
        <v>54</v>
      </c>
      <c r="L51" s="58" t="s">
        <v>55</v>
      </c>
      <c r="M51" s="60"/>
      <c r="N51" s="64"/>
      <c r="O51" s="60" t="s">
        <v>123</v>
      </c>
      <c r="P51" s="60" t="s">
        <v>273</v>
      </c>
      <c r="Q51" s="60" t="s">
        <v>82</v>
      </c>
      <c r="R51" s="60" t="s">
        <v>19</v>
      </c>
      <c r="S51" s="60"/>
      <c r="T51" s="60" t="s">
        <v>141</v>
      </c>
      <c r="U51" s="61" t="s">
        <v>61</v>
      </c>
    </row>
    <row r="52" spans="1:21" ht="27">
      <c r="A52" s="60" t="s">
        <v>274</v>
      </c>
      <c r="B52" s="60" t="s">
        <v>275</v>
      </c>
      <c r="C52" s="61" t="s">
        <v>49</v>
      </c>
      <c r="D52" s="61" t="s">
        <v>50</v>
      </c>
      <c r="E52" s="56" t="s">
        <v>21</v>
      </c>
      <c r="F52" s="57" t="s">
        <v>51</v>
      </c>
      <c r="G52" s="60" t="s">
        <v>276</v>
      </c>
      <c r="H52" s="60"/>
      <c r="I52" s="60"/>
      <c r="J52" s="58" t="s">
        <v>53</v>
      </c>
      <c r="K52" s="58" t="s">
        <v>54</v>
      </c>
      <c r="L52" s="58" t="s">
        <v>55</v>
      </c>
      <c r="M52" s="60"/>
      <c r="N52" s="64"/>
      <c r="O52" s="60" t="s">
        <v>113</v>
      </c>
      <c r="P52" s="60" t="s">
        <v>277</v>
      </c>
      <c r="Q52" s="60" t="s">
        <v>82</v>
      </c>
      <c r="R52" s="60" t="s">
        <v>21</v>
      </c>
      <c r="S52" s="60"/>
      <c r="T52" s="60" t="s">
        <v>141</v>
      </c>
      <c r="U52" s="61" t="s">
        <v>61</v>
      </c>
    </row>
    <row r="53" spans="1:21" ht="27">
      <c r="A53" s="60" t="s">
        <v>278</v>
      </c>
      <c r="B53" s="60" t="s">
        <v>279</v>
      </c>
      <c r="C53" s="61" t="s">
        <v>49</v>
      </c>
      <c r="D53" s="61" t="s">
        <v>50</v>
      </c>
      <c r="E53" s="56" t="s">
        <v>21</v>
      </c>
      <c r="F53" s="57" t="s">
        <v>51</v>
      </c>
      <c r="G53" s="60" t="s">
        <v>280</v>
      </c>
      <c r="H53" s="60"/>
      <c r="I53" s="60"/>
      <c r="J53" s="58" t="s">
        <v>53</v>
      </c>
      <c r="K53" s="58" t="s">
        <v>54</v>
      </c>
      <c r="L53" s="58" t="s">
        <v>55</v>
      </c>
      <c r="M53" s="60"/>
      <c r="N53" s="64"/>
      <c r="O53" s="60" t="s">
        <v>103</v>
      </c>
      <c r="P53" s="60" t="s">
        <v>281</v>
      </c>
      <c r="Q53" s="60" t="s">
        <v>82</v>
      </c>
      <c r="R53" s="60" t="s">
        <v>21</v>
      </c>
      <c r="S53" s="60"/>
      <c r="T53" s="60" t="s">
        <v>60</v>
      </c>
      <c r="U53" s="61" t="s">
        <v>61</v>
      </c>
    </row>
    <row r="54" spans="1:21" ht="27">
      <c r="A54" s="60" t="s">
        <v>282</v>
      </c>
      <c r="B54" s="60" t="s">
        <v>283</v>
      </c>
      <c r="C54" s="61" t="s">
        <v>49</v>
      </c>
      <c r="D54" s="61" t="s">
        <v>284</v>
      </c>
      <c r="E54" s="56" t="s">
        <v>21</v>
      </c>
      <c r="F54" s="57" t="s">
        <v>51</v>
      </c>
      <c r="G54" s="60" t="s">
        <v>285</v>
      </c>
      <c r="H54" s="60"/>
      <c r="I54" s="60"/>
      <c r="J54" s="58" t="s">
        <v>286</v>
      </c>
      <c r="K54" s="58" t="s">
        <v>287</v>
      </c>
      <c r="L54" s="58" t="s">
        <v>288</v>
      </c>
      <c r="M54" s="60" t="s">
        <v>289</v>
      </c>
      <c r="N54" s="64"/>
      <c r="O54" s="60" t="s">
        <v>87</v>
      </c>
      <c r="P54" s="60" t="s">
        <v>290</v>
      </c>
      <c r="Q54" s="60" t="s">
        <v>82</v>
      </c>
      <c r="R54" s="60" t="s">
        <v>21</v>
      </c>
      <c r="S54" s="60"/>
      <c r="T54" s="60" t="s">
        <v>60</v>
      </c>
      <c r="U54" s="61" t="s">
        <v>61</v>
      </c>
    </row>
    <row r="55" spans="1:21" ht="27">
      <c r="A55" s="60" t="s">
        <v>291</v>
      </c>
      <c r="B55" s="60" t="s">
        <v>63</v>
      </c>
      <c r="C55" s="61" t="s">
        <v>49</v>
      </c>
      <c r="D55" s="61" t="s">
        <v>284</v>
      </c>
      <c r="E55" s="56" t="s">
        <v>21</v>
      </c>
      <c r="F55" s="57" t="s">
        <v>51</v>
      </c>
      <c r="G55" s="60" t="s">
        <v>64</v>
      </c>
      <c r="H55" s="60"/>
      <c r="I55" s="60"/>
      <c r="J55" s="58" t="s">
        <v>286</v>
      </c>
      <c r="K55" s="58" t="s">
        <v>287</v>
      </c>
      <c r="L55" s="58" t="s">
        <v>288</v>
      </c>
      <c r="M55" s="60" t="s">
        <v>56</v>
      </c>
      <c r="N55" s="64"/>
      <c r="O55" s="60" t="s">
        <v>65</v>
      </c>
      <c r="P55" s="60" t="s">
        <v>292</v>
      </c>
      <c r="Q55" s="60" t="s">
        <v>59</v>
      </c>
      <c r="R55" s="60" t="s">
        <v>19</v>
      </c>
      <c r="S55" s="60"/>
      <c r="T55" s="60" t="s">
        <v>60</v>
      </c>
      <c r="U55" s="61" t="s">
        <v>61</v>
      </c>
    </row>
    <row r="56" spans="1:21" ht="40.5">
      <c r="A56" s="60" t="s">
        <v>293</v>
      </c>
      <c r="B56" s="60" t="s">
        <v>68</v>
      </c>
      <c r="C56" s="61" t="s">
        <v>49</v>
      </c>
      <c r="D56" s="61" t="s">
        <v>284</v>
      </c>
      <c r="E56" s="56" t="s">
        <v>21</v>
      </c>
      <c r="F56" s="57" t="s">
        <v>51</v>
      </c>
      <c r="G56" s="60" t="s">
        <v>69</v>
      </c>
      <c r="H56" s="60"/>
      <c r="I56" s="60"/>
      <c r="J56" s="58" t="s">
        <v>286</v>
      </c>
      <c r="K56" s="58" t="s">
        <v>287</v>
      </c>
      <c r="L56" s="58" t="s">
        <v>288</v>
      </c>
      <c r="M56" s="60" t="s">
        <v>289</v>
      </c>
      <c r="N56" s="64"/>
      <c r="O56" s="60" t="s">
        <v>87</v>
      </c>
      <c r="P56" s="60" t="s">
        <v>294</v>
      </c>
      <c r="Q56" s="60" t="s">
        <v>89</v>
      </c>
      <c r="R56" s="60" t="s">
        <v>21</v>
      </c>
      <c r="S56" s="60"/>
      <c r="T56" s="60" t="s">
        <v>60</v>
      </c>
      <c r="U56" s="61" t="s">
        <v>61</v>
      </c>
    </row>
    <row r="57" spans="1:21" ht="27">
      <c r="A57" s="60" t="s">
        <v>295</v>
      </c>
      <c r="B57" s="60" t="s">
        <v>296</v>
      </c>
      <c r="C57" s="61" t="s">
        <v>49</v>
      </c>
      <c r="D57" s="61" t="s">
        <v>284</v>
      </c>
      <c r="E57" s="56" t="s">
        <v>21</v>
      </c>
      <c r="F57" s="57" t="s">
        <v>51</v>
      </c>
      <c r="G57" s="60" t="s">
        <v>297</v>
      </c>
      <c r="H57" s="60"/>
      <c r="I57" s="60"/>
      <c r="J57" s="58" t="s">
        <v>286</v>
      </c>
      <c r="K57" s="58" t="s">
        <v>287</v>
      </c>
      <c r="L57" s="58" t="s">
        <v>288</v>
      </c>
      <c r="M57" s="60" t="s">
        <v>298</v>
      </c>
      <c r="N57" s="64"/>
      <c r="O57" s="60" t="s">
        <v>87</v>
      </c>
      <c r="P57" s="60" t="s">
        <v>299</v>
      </c>
      <c r="Q57" s="60" t="s">
        <v>82</v>
      </c>
      <c r="R57" s="60" t="s">
        <v>21</v>
      </c>
      <c r="S57" s="60"/>
      <c r="T57" s="60" t="s">
        <v>83</v>
      </c>
      <c r="U57" s="61" t="s">
        <v>61</v>
      </c>
    </row>
    <row r="58" spans="1:21" ht="27">
      <c r="A58" s="60" t="s">
        <v>300</v>
      </c>
      <c r="B58" s="60" t="s">
        <v>301</v>
      </c>
      <c r="C58" s="61" t="s">
        <v>49</v>
      </c>
      <c r="D58" s="61" t="s">
        <v>284</v>
      </c>
      <c r="E58" s="56" t="s">
        <v>21</v>
      </c>
      <c r="F58" s="57" t="s">
        <v>51</v>
      </c>
      <c r="G58" s="60" t="s">
        <v>302</v>
      </c>
      <c r="H58" s="60"/>
      <c r="I58" s="60"/>
      <c r="J58" s="58" t="s">
        <v>286</v>
      </c>
      <c r="K58" s="58" t="s">
        <v>287</v>
      </c>
      <c r="L58" s="58" t="s">
        <v>288</v>
      </c>
      <c r="M58" s="60"/>
      <c r="N58" s="64"/>
      <c r="O58" s="60" t="s">
        <v>103</v>
      </c>
      <c r="P58" s="60" t="s">
        <v>88</v>
      </c>
      <c r="Q58" s="60" t="s">
        <v>89</v>
      </c>
      <c r="R58" s="60" t="s">
        <v>21</v>
      </c>
      <c r="S58" s="60"/>
      <c r="T58" s="60" t="s">
        <v>60</v>
      </c>
      <c r="U58" s="61" t="s">
        <v>61</v>
      </c>
    </row>
    <row r="59" spans="1:21" ht="27">
      <c r="A59" s="60" t="s">
        <v>303</v>
      </c>
      <c r="B59" s="60" t="s">
        <v>304</v>
      </c>
      <c r="C59" s="61" t="s">
        <v>49</v>
      </c>
      <c r="D59" s="61" t="s">
        <v>284</v>
      </c>
      <c r="E59" s="56" t="s">
        <v>21</v>
      </c>
      <c r="F59" s="57" t="s">
        <v>51</v>
      </c>
      <c r="G59" s="60" t="s">
        <v>305</v>
      </c>
      <c r="H59" s="60"/>
      <c r="I59" s="60"/>
      <c r="J59" s="58" t="s">
        <v>286</v>
      </c>
      <c r="K59" s="58" t="s">
        <v>287</v>
      </c>
      <c r="L59" s="58" t="s">
        <v>288</v>
      </c>
      <c r="M59" s="60"/>
      <c r="N59" s="64"/>
      <c r="O59" s="60" t="s">
        <v>108</v>
      </c>
      <c r="P59" s="60" t="s">
        <v>306</v>
      </c>
      <c r="Q59" s="60" t="s">
        <v>89</v>
      </c>
      <c r="R59" s="60" t="s">
        <v>21</v>
      </c>
      <c r="S59" s="60"/>
      <c r="T59" s="60" t="s">
        <v>60</v>
      </c>
      <c r="U59" s="61" t="s">
        <v>61</v>
      </c>
    </row>
    <row r="60" spans="1:21">
      <c r="A60" s="60" t="s">
        <v>307</v>
      </c>
      <c r="B60" s="60" t="s">
        <v>308</v>
      </c>
      <c r="C60" s="61" t="s">
        <v>49</v>
      </c>
      <c r="D60" s="61" t="s">
        <v>284</v>
      </c>
      <c r="E60" s="56" t="s">
        <v>21</v>
      </c>
      <c r="F60" s="57" t="s">
        <v>51</v>
      </c>
      <c r="G60" s="60" t="s">
        <v>309</v>
      </c>
      <c r="H60" s="60"/>
      <c r="I60" s="60"/>
      <c r="J60" s="58" t="s">
        <v>286</v>
      </c>
      <c r="K60" s="58" t="s">
        <v>287</v>
      </c>
      <c r="L60" s="58" t="s">
        <v>288</v>
      </c>
      <c r="M60" s="60"/>
      <c r="N60" s="64"/>
      <c r="O60" s="60" t="s">
        <v>153</v>
      </c>
      <c r="P60" s="60" t="s">
        <v>310</v>
      </c>
      <c r="Q60" s="60" t="s">
        <v>59</v>
      </c>
      <c r="R60" s="60" t="s">
        <v>21</v>
      </c>
      <c r="S60" s="60"/>
      <c r="T60" s="60" t="s">
        <v>60</v>
      </c>
      <c r="U60" s="61" t="s">
        <v>61</v>
      </c>
    </row>
    <row r="61" spans="1:21" ht="202.5">
      <c r="A61" s="60" t="s">
        <v>311</v>
      </c>
      <c r="B61" s="60" t="s">
        <v>312</v>
      </c>
      <c r="C61" s="61" t="s">
        <v>49</v>
      </c>
      <c r="D61" s="61" t="s">
        <v>284</v>
      </c>
      <c r="E61" s="56" t="s">
        <v>21</v>
      </c>
      <c r="F61" s="57" t="s">
        <v>51</v>
      </c>
      <c r="G61" s="60" t="s">
        <v>313</v>
      </c>
      <c r="H61" s="60"/>
      <c r="I61" s="60"/>
      <c r="J61" s="58" t="s">
        <v>286</v>
      </c>
      <c r="K61" s="58" t="s">
        <v>287</v>
      </c>
      <c r="L61" s="58" t="s">
        <v>288</v>
      </c>
      <c r="M61" s="60"/>
      <c r="N61" s="64"/>
      <c r="O61" s="60" t="s">
        <v>123</v>
      </c>
      <c r="P61" s="60" t="s">
        <v>314</v>
      </c>
      <c r="Q61" s="60" t="s">
        <v>89</v>
      </c>
      <c r="R61" s="60" t="s">
        <v>21</v>
      </c>
      <c r="S61" s="60"/>
      <c r="T61" s="60" t="s">
        <v>60</v>
      </c>
      <c r="U61" s="61" t="s">
        <v>61</v>
      </c>
    </row>
    <row r="62" spans="1:21" ht="27">
      <c r="A62" s="60" t="s">
        <v>315</v>
      </c>
      <c r="B62" s="60" t="s">
        <v>101</v>
      </c>
      <c r="C62" s="61" t="s">
        <v>49</v>
      </c>
      <c r="D62" s="61" t="s">
        <v>284</v>
      </c>
      <c r="E62" s="56" t="s">
        <v>21</v>
      </c>
      <c r="F62" s="57" t="s">
        <v>51</v>
      </c>
      <c r="G62" s="60" t="s">
        <v>316</v>
      </c>
      <c r="H62" s="60"/>
      <c r="I62" s="60"/>
      <c r="J62" s="58" t="s">
        <v>286</v>
      </c>
      <c r="K62" s="58" t="s">
        <v>287</v>
      </c>
      <c r="L62" s="58" t="s">
        <v>288</v>
      </c>
      <c r="M62" s="60"/>
      <c r="N62" s="64"/>
      <c r="O62" s="60" t="s">
        <v>117</v>
      </c>
      <c r="P62" s="60" t="s">
        <v>158</v>
      </c>
      <c r="Q62" s="60" t="s">
        <v>89</v>
      </c>
      <c r="R62" s="60" t="s">
        <v>26</v>
      </c>
      <c r="S62" s="60"/>
      <c r="T62" s="60" t="s">
        <v>60</v>
      </c>
      <c r="U62" s="61" t="s">
        <v>61</v>
      </c>
    </row>
    <row r="63" spans="1:21">
      <c r="A63" s="60" t="s">
        <v>317</v>
      </c>
      <c r="B63" s="60" t="s">
        <v>318</v>
      </c>
      <c r="C63" s="61" t="s">
        <v>49</v>
      </c>
      <c r="D63" s="61" t="s">
        <v>284</v>
      </c>
      <c r="E63" s="56" t="s">
        <v>21</v>
      </c>
      <c r="F63" s="57" t="s">
        <v>51</v>
      </c>
      <c r="G63" s="60" t="s">
        <v>107</v>
      </c>
      <c r="H63" s="60"/>
      <c r="I63" s="60"/>
      <c r="J63" s="58" t="s">
        <v>286</v>
      </c>
      <c r="K63" s="58" t="s">
        <v>287</v>
      </c>
      <c r="L63" s="58" t="s">
        <v>288</v>
      </c>
      <c r="M63" s="60"/>
      <c r="N63" s="64"/>
      <c r="O63" s="60" t="s">
        <v>232</v>
      </c>
      <c r="P63" s="60" t="s">
        <v>109</v>
      </c>
      <c r="Q63" s="60" t="s">
        <v>82</v>
      </c>
      <c r="R63" s="60" t="s">
        <v>21</v>
      </c>
      <c r="S63" s="60"/>
      <c r="T63" s="60" t="s">
        <v>60</v>
      </c>
      <c r="U63" s="61" t="s">
        <v>61</v>
      </c>
    </row>
    <row r="64" spans="1:21" ht="27">
      <c r="A64" s="60" t="s">
        <v>319</v>
      </c>
      <c r="B64" s="60" t="s">
        <v>320</v>
      </c>
      <c r="C64" s="61" t="s">
        <v>49</v>
      </c>
      <c r="D64" s="61" t="s">
        <v>284</v>
      </c>
      <c r="E64" s="56" t="s">
        <v>21</v>
      </c>
      <c r="F64" s="57" t="s">
        <v>51</v>
      </c>
      <c r="G64" s="60" t="s">
        <v>321</v>
      </c>
      <c r="H64" s="60"/>
      <c r="I64" s="60"/>
      <c r="J64" s="58" t="s">
        <v>286</v>
      </c>
      <c r="K64" s="58" t="s">
        <v>287</v>
      </c>
      <c r="L64" s="58" t="s">
        <v>288</v>
      </c>
      <c r="M64" s="60"/>
      <c r="N64" s="64"/>
      <c r="O64" s="60" t="s">
        <v>113</v>
      </c>
      <c r="P64" s="60" t="s">
        <v>158</v>
      </c>
      <c r="Q64" s="60" t="s">
        <v>82</v>
      </c>
      <c r="R64" s="60" t="s">
        <v>21</v>
      </c>
      <c r="S64" s="60"/>
      <c r="T64" s="60" t="s">
        <v>60</v>
      </c>
      <c r="U64" s="61" t="s">
        <v>61</v>
      </c>
    </row>
    <row r="65" spans="1:21" ht="27">
      <c r="A65" s="60" t="s">
        <v>322</v>
      </c>
      <c r="B65" s="60" t="s">
        <v>323</v>
      </c>
      <c r="C65" s="61" t="s">
        <v>49</v>
      </c>
      <c r="D65" s="61" t="s">
        <v>284</v>
      </c>
      <c r="E65" s="56" t="s">
        <v>21</v>
      </c>
      <c r="F65" s="57" t="s">
        <v>51</v>
      </c>
      <c r="G65" s="60" t="s">
        <v>324</v>
      </c>
      <c r="H65" s="60"/>
      <c r="I65" s="60"/>
      <c r="J65" s="58" t="s">
        <v>286</v>
      </c>
      <c r="K65" s="58" t="s">
        <v>287</v>
      </c>
      <c r="L65" s="58" t="s">
        <v>288</v>
      </c>
      <c r="M65" s="60"/>
      <c r="N65" s="64"/>
      <c r="O65" s="60" t="s">
        <v>166</v>
      </c>
      <c r="P65" s="60" t="s">
        <v>325</v>
      </c>
      <c r="Q65" s="60" t="s">
        <v>89</v>
      </c>
      <c r="R65" s="60" t="s">
        <v>19</v>
      </c>
      <c r="S65" s="60"/>
      <c r="T65" s="60" t="s">
        <v>119</v>
      </c>
      <c r="U65" s="61" t="s">
        <v>61</v>
      </c>
    </row>
    <row r="66" spans="1:21" ht="27">
      <c r="A66" s="60" t="s">
        <v>326</v>
      </c>
      <c r="B66" s="60" t="s">
        <v>327</v>
      </c>
      <c r="C66" s="61" t="s">
        <v>49</v>
      </c>
      <c r="D66" s="61" t="s">
        <v>284</v>
      </c>
      <c r="E66" s="56" t="s">
        <v>21</v>
      </c>
      <c r="F66" s="57" t="s">
        <v>51</v>
      </c>
      <c r="G66" s="60" t="s">
        <v>328</v>
      </c>
      <c r="H66" s="60"/>
      <c r="I66" s="60"/>
      <c r="J66" s="58" t="s">
        <v>286</v>
      </c>
      <c r="K66" s="58" t="s">
        <v>287</v>
      </c>
      <c r="L66" s="58" t="s">
        <v>288</v>
      </c>
      <c r="M66" s="60"/>
      <c r="N66" s="64"/>
      <c r="O66" s="60" t="s">
        <v>87</v>
      </c>
      <c r="P66" s="60" t="s">
        <v>329</v>
      </c>
      <c r="Q66" s="60" t="s">
        <v>82</v>
      </c>
      <c r="R66" s="60" t="s">
        <v>19</v>
      </c>
      <c r="S66" s="60"/>
      <c r="T66" s="60" t="s">
        <v>60</v>
      </c>
      <c r="U66" s="61" t="s">
        <v>61</v>
      </c>
    </row>
    <row r="67" spans="1:21" ht="27">
      <c r="A67" s="60" t="s">
        <v>330</v>
      </c>
      <c r="B67" s="60" t="s">
        <v>331</v>
      </c>
      <c r="C67" s="61" t="s">
        <v>49</v>
      </c>
      <c r="D67" s="61" t="s">
        <v>284</v>
      </c>
      <c r="E67" s="56" t="s">
        <v>21</v>
      </c>
      <c r="F67" s="57" t="s">
        <v>51</v>
      </c>
      <c r="G67" s="60" t="s">
        <v>332</v>
      </c>
      <c r="H67" s="60"/>
      <c r="I67" s="60"/>
      <c r="J67" s="58" t="s">
        <v>286</v>
      </c>
      <c r="K67" s="58" t="s">
        <v>287</v>
      </c>
      <c r="L67" s="58" t="s">
        <v>288</v>
      </c>
      <c r="M67" s="60"/>
      <c r="N67" s="64"/>
      <c r="O67" s="60" t="s">
        <v>103</v>
      </c>
      <c r="P67" s="60" t="s">
        <v>333</v>
      </c>
      <c r="Q67" s="60" t="s">
        <v>82</v>
      </c>
      <c r="R67" s="60" t="s">
        <v>21</v>
      </c>
      <c r="S67" s="60"/>
      <c r="T67" s="60" t="s">
        <v>60</v>
      </c>
      <c r="U67" s="61" t="s">
        <v>61</v>
      </c>
    </row>
    <row r="68" spans="1:21" ht="27">
      <c r="A68" s="60" t="s">
        <v>334</v>
      </c>
      <c r="B68" s="60" t="s">
        <v>335</v>
      </c>
      <c r="C68" s="61" t="s">
        <v>49</v>
      </c>
      <c r="D68" s="61" t="s">
        <v>284</v>
      </c>
      <c r="E68" s="56" t="s">
        <v>21</v>
      </c>
      <c r="F68" s="57" t="s">
        <v>51</v>
      </c>
      <c r="G68" s="60" t="s">
        <v>336</v>
      </c>
      <c r="H68" s="60"/>
      <c r="I68" s="60"/>
      <c r="J68" s="58" t="s">
        <v>286</v>
      </c>
      <c r="K68" s="58" t="s">
        <v>287</v>
      </c>
      <c r="L68" s="58" t="s">
        <v>288</v>
      </c>
      <c r="M68" s="60"/>
      <c r="N68" s="64"/>
      <c r="O68" s="60" t="s">
        <v>87</v>
      </c>
      <c r="P68" s="60" t="s">
        <v>337</v>
      </c>
      <c r="Q68" s="60" t="s">
        <v>82</v>
      </c>
      <c r="R68" s="60" t="s">
        <v>19</v>
      </c>
      <c r="S68" s="60"/>
      <c r="T68" s="60" t="s">
        <v>60</v>
      </c>
      <c r="U68" s="61" t="s">
        <v>61</v>
      </c>
    </row>
    <row r="69" spans="1:21" ht="27">
      <c r="A69" s="60" t="s">
        <v>338</v>
      </c>
      <c r="B69" s="60" t="s">
        <v>339</v>
      </c>
      <c r="C69" s="61" t="s">
        <v>49</v>
      </c>
      <c r="D69" s="61" t="s">
        <v>284</v>
      </c>
      <c r="E69" s="56" t="s">
        <v>21</v>
      </c>
      <c r="F69" s="57" t="s">
        <v>51</v>
      </c>
      <c r="G69" s="60" t="s">
        <v>340</v>
      </c>
      <c r="H69" s="60"/>
      <c r="I69" s="60"/>
      <c r="J69" s="58" t="s">
        <v>286</v>
      </c>
      <c r="K69" s="58" t="s">
        <v>287</v>
      </c>
      <c r="L69" s="58" t="s">
        <v>288</v>
      </c>
      <c r="M69" s="60"/>
      <c r="N69" s="64"/>
      <c r="O69" s="60" t="s">
        <v>108</v>
      </c>
      <c r="P69" s="60" t="s">
        <v>341</v>
      </c>
      <c r="Q69" s="60" t="s">
        <v>89</v>
      </c>
      <c r="R69" s="60" t="s">
        <v>21</v>
      </c>
      <c r="S69" s="60"/>
      <c r="T69" s="60" t="s">
        <v>60</v>
      </c>
      <c r="U69" s="61" t="s">
        <v>61</v>
      </c>
    </row>
    <row r="70" spans="1:21">
      <c r="A70" s="60" t="s">
        <v>342</v>
      </c>
      <c r="B70" s="60" t="s">
        <v>343</v>
      </c>
      <c r="C70" s="61" t="s">
        <v>49</v>
      </c>
      <c r="D70" s="61" t="s">
        <v>284</v>
      </c>
      <c r="E70" s="56" t="s">
        <v>21</v>
      </c>
      <c r="F70" s="57" t="s">
        <v>51</v>
      </c>
      <c r="G70" s="60" t="s">
        <v>344</v>
      </c>
      <c r="H70" s="60"/>
      <c r="I70" s="60"/>
      <c r="J70" s="58" t="s">
        <v>286</v>
      </c>
      <c r="K70" s="58" t="s">
        <v>287</v>
      </c>
      <c r="L70" s="58" t="s">
        <v>288</v>
      </c>
      <c r="M70" s="60"/>
      <c r="N70" s="64"/>
      <c r="O70" s="60" t="s">
        <v>153</v>
      </c>
      <c r="P70" s="60" t="s">
        <v>345</v>
      </c>
      <c r="Q70" s="60" t="s">
        <v>89</v>
      </c>
      <c r="R70" s="60" t="s">
        <v>19</v>
      </c>
      <c r="S70" s="60"/>
      <c r="T70" s="60" t="s">
        <v>60</v>
      </c>
      <c r="U70" s="61" t="s">
        <v>61</v>
      </c>
    </row>
    <row r="71" spans="1:21" ht="27">
      <c r="A71" s="60" t="s">
        <v>346</v>
      </c>
      <c r="B71" s="60" t="s">
        <v>347</v>
      </c>
      <c r="C71" s="61" t="s">
        <v>49</v>
      </c>
      <c r="D71" s="61" t="s">
        <v>284</v>
      </c>
      <c r="E71" s="56" t="s">
        <v>21</v>
      </c>
      <c r="F71" s="57" t="s">
        <v>51</v>
      </c>
      <c r="G71" s="60" t="s">
        <v>348</v>
      </c>
      <c r="H71" s="60"/>
      <c r="I71" s="60"/>
      <c r="J71" s="58" t="s">
        <v>286</v>
      </c>
      <c r="K71" s="58" t="s">
        <v>287</v>
      </c>
      <c r="L71" s="58" t="s">
        <v>288</v>
      </c>
      <c r="M71" s="60"/>
      <c r="N71" s="64"/>
      <c r="O71" s="60" t="s">
        <v>123</v>
      </c>
      <c r="P71" s="60" t="s">
        <v>149</v>
      </c>
      <c r="Q71" s="60" t="s">
        <v>89</v>
      </c>
      <c r="R71" s="60" t="s">
        <v>21</v>
      </c>
      <c r="S71" s="60"/>
      <c r="T71" s="60" t="s">
        <v>60</v>
      </c>
      <c r="U71" s="61" t="s">
        <v>61</v>
      </c>
    </row>
    <row r="72" spans="1:21">
      <c r="A72" s="60" t="s">
        <v>349</v>
      </c>
      <c r="B72" s="60" t="s">
        <v>350</v>
      </c>
      <c r="C72" s="61" t="s">
        <v>49</v>
      </c>
      <c r="D72" s="61" t="s">
        <v>284</v>
      </c>
      <c r="E72" s="56" t="s">
        <v>21</v>
      </c>
      <c r="F72" s="57" t="s">
        <v>51</v>
      </c>
      <c r="G72" s="60" t="s">
        <v>351</v>
      </c>
      <c r="H72" s="60"/>
      <c r="I72" s="60"/>
      <c r="J72" s="58" t="s">
        <v>286</v>
      </c>
      <c r="K72" s="58" t="s">
        <v>287</v>
      </c>
      <c r="L72" s="58" t="s">
        <v>288</v>
      </c>
      <c r="M72" s="60"/>
      <c r="N72" s="64"/>
      <c r="O72" s="60" t="s">
        <v>117</v>
      </c>
      <c r="P72" s="60" t="s">
        <v>158</v>
      </c>
      <c r="Q72" s="60" t="s">
        <v>82</v>
      </c>
      <c r="R72" s="60" t="s">
        <v>21</v>
      </c>
      <c r="S72" s="60"/>
      <c r="T72" s="60" t="s">
        <v>60</v>
      </c>
      <c r="U72" s="61" t="s">
        <v>61</v>
      </c>
    </row>
    <row r="73" spans="1:21">
      <c r="A73" s="60" t="s">
        <v>352</v>
      </c>
      <c r="B73" s="60" t="s">
        <v>353</v>
      </c>
      <c r="C73" s="61" t="s">
        <v>49</v>
      </c>
      <c r="D73" s="61" t="s">
        <v>284</v>
      </c>
      <c r="E73" s="56" t="s">
        <v>21</v>
      </c>
      <c r="F73" s="57" t="s">
        <v>51</v>
      </c>
      <c r="G73" s="60" t="s">
        <v>354</v>
      </c>
      <c r="H73" s="60"/>
      <c r="I73" s="60"/>
      <c r="J73" s="58" t="s">
        <v>286</v>
      </c>
      <c r="K73" s="58" t="s">
        <v>287</v>
      </c>
      <c r="L73" s="58" t="s">
        <v>288</v>
      </c>
      <c r="M73" s="60"/>
      <c r="N73" s="64"/>
      <c r="O73" s="60" t="s">
        <v>232</v>
      </c>
      <c r="P73" s="60" t="s">
        <v>329</v>
      </c>
      <c r="Q73" s="60" t="s">
        <v>82</v>
      </c>
      <c r="R73" s="60" t="s">
        <v>21</v>
      </c>
      <c r="S73" s="60"/>
      <c r="T73" s="60" t="s">
        <v>60</v>
      </c>
      <c r="U73" s="61" t="s">
        <v>61</v>
      </c>
    </row>
    <row r="74" spans="1:21" ht="27">
      <c r="A74" s="60" t="s">
        <v>355</v>
      </c>
      <c r="B74" s="60" t="s">
        <v>356</v>
      </c>
      <c r="C74" s="61" t="s">
        <v>49</v>
      </c>
      <c r="D74" s="61" t="s">
        <v>284</v>
      </c>
      <c r="E74" s="56" t="s">
        <v>21</v>
      </c>
      <c r="F74" s="57" t="s">
        <v>51</v>
      </c>
      <c r="G74" s="60" t="s">
        <v>357</v>
      </c>
      <c r="H74" s="60"/>
      <c r="I74" s="60"/>
      <c r="J74" s="58" t="s">
        <v>286</v>
      </c>
      <c r="K74" s="58" t="s">
        <v>287</v>
      </c>
      <c r="L74" s="58" t="s">
        <v>288</v>
      </c>
      <c r="M74" s="60"/>
      <c r="N74" s="64"/>
      <c r="O74" s="60" t="s">
        <v>113</v>
      </c>
      <c r="P74" s="60" t="s">
        <v>162</v>
      </c>
      <c r="Q74" s="60" t="s">
        <v>89</v>
      </c>
      <c r="R74" s="60" t="s">
        <v>21</v>
      </c>
      <c r="S74" s="60"/>
      <c r="T74" s="60" t="s">
        <v>60</v>
      </c>
      <c r="U74" s="61" t="s">
        <v>61</v>
      </c>
    </row>
    <row r="75" spans="1:21" ht="27">
      <c r="A75" s="60" t="s">
        <v>358</v>
      </c>
      <c r="B75" s="60" t="s">
        <v>359</v>
      </c>
      <c r="C75" s="61" t="s">
        <v>49</v>
      </c>
      <c r="D75" s="61" t="s">
        <v>284</v>
      </c>
      <c r="E75" s="56" t="s">
        <v>21</v>
      </c>
      <c r="F75" s="57" t="s">
        <v>51</v>
      </c>
      <c r="G75" s="60" t="s">
        <v>360</v>
      </c>
      <c r="H75" s="60"/>
      <c r="I75" s="60"/>
      <c r="J75" s="58" t="s">
        <v>286</v>
      </c>
      <c r="K75" s="58" t="s">
        <v>287</v>
      </c>
      <c r="L75" s="58" t="s">
        <v>288</v>
      </c>
      <c r="M75" s="60"/>
      <c r="N75" s="64"/>
      <c r="O75" s="60" t="s">
        <v>166</v>
      </c>
      <c r="P75" s="60" t="s">
        <v>167</v>
      </c>
      <c r="Q75" s="60" t="s">
        <v>82</v>
      </c>
      <c r="R75" s="60" t="s">
        <v>21</v>
      </c>
      <c r="S75" s="60"/>
      <c r="T75" s="60" t="s">
        <v>60</v>
      </c>
      <c r="U75" s="61" t="s">
        <v>61</v>
      </c>
    </row>
    <row r="76" spans="1:21" ht="27">
      <c r="A76" s="60" t="s">
        <v>361</v>
      </c>
      <c r="B76" s="60" t="s">
        <v>362</v>
      </c>
      <c r="C76" s="61" t="s">
        <v>49</v>
      </c>
      <c r="D76" s="61" t="s">
        <v>284</v>
      </c>
      <c r="E76" s="56" t="s">
        <v>21</v>
      </c>
      <c r="F76" s="57" t="s">
        <v>51</v>
      </c>
      <c r="G76" s="60" t="s">
        <v>363</v>
      </c>
      <c r="H76" s="60"/>
      <c r="I76" s="60"/>
      <c r="J76" s="58" t="s">
        <v>286</v>
      </c>
      <c r="K76" s="58" t="s">
        <v>287</v>
      </c>
      <c r="L76" s="58" t="s">
        <v>288</v>
      </c>
      <c r="M76" s="60"/>
      <c r="N76" s="64"/>
      <c r="O76" s="60" t="s">
        <v>87</v>
      </c>
      <c r="P76" s="60" t="s">
        <v>364</v>
      </c>
      <c r="Q76" s="60" t="s">
        <v>82</v>
      </c>
      <c r="R76" s="60" t="s">
        <v>21</v>
      </c>
      <c r="S76" s="60"/>
      <c r="T76" s="60" t="s">
        <v>60</v>
      </c>
      <c r="U76" s="61" t="s">
        <v>61</v>
      </c>
    </row>
    <row r="77" spans="1:21" ht="40.5">
      <c r="A77" s="60" t="s">
        <v>365</v>
      </c>
      <c r="B77" s="60" t="s">
        <v>366</v>
      </c>
      <c r="C77" s="61" t="s">
        <v>49</v>
      </c>
      <c r="D77" s="61" t="s">
        <v>284</v>
      </c>
      <c r="E77" s="56" t="s">
        <v>21</v>
      </c>
      <c r="F77" s="57" t="s">
        <v>51</v>
      </c>
      <c r="G77" s="60" t="s">
        <v>367</v>
      </c>
      <c r="H77" s="60"/>
      <c r="I77" s="60"/>
      <c r="J77" s="58" t="s">
        <v>286</v>
      </c>
      <c r="K77" s="58" t="s">
        <v>287</v>
      </c>
      <c r="L77" s="58" t="s">
        <v>288</v>
      </c>
      <c r="M77" s="60"/>
      <c r="N77" s="64"/>
      <c r="O77" s="60" t="s">
        <v>103</v>
      </c>
      <c r="P77" s="60" t="s">
        <v>368</v>
      </c>
      <c r="Q77" s="60" t="s">
        <v>82</v>
      </c>
      <c r="R77" s="60" t="s">
        <v>19</v>
      </c>
      <c r="S77" s="60"/>
      <c r="T77" s="60" t="s">
        <v>60</v>
      </c>
      <c r="U77" s="61" t="s">
        <v>61</v>
      </c>
    </row>
    <row r="78" spans="1:21" ht="40.5">
      <c r="A78" s="60" t="s">
        <v>369</v>
      </c>
      <c r="B78" s="60" t="s">
        <v>370</v>
      </c>
      <c r="C78" s="61" t="s">
        <v>49</v>
      </c>
      <c r="D78" s="61" t="s">
        <v>284</v>
      </c>
      <c r="E78" s="56" t="s">
        <v>21</v>
      </c>
      <c r="F78" s="57" t="s">
        <v>51</v>
      </c>
      <c r="G78" s="60" t="s">
        <v>371</v>
      </c>
      <c r="H78" s="60"/>
      <c r="I78" s="60"/>
      <c r="J78" s="58" t="s">
        <v>286</v>
      </c>
      <c r="K78" s="58" t="s">
        <v>287</v>
      </c>
      <c r="L78" s="58" t="s">
        <v>288</v>
      </c>
      <c r="M78" s="60"/>
      <c r="N78" s="64"/>
      <c r="O78" s="60" t="s">
        <v>108</v>
      </c>
      <c r="P78" s="60" t="s">
        <v>372</v>
      </c>
      <c r="Q78" s="60" t="s">
        <v>89</v>
      </c>
      <c r="R78" s="60" t="s">
        <v>21</v>
      </c>
      <c r="S78" s="60"/>
      <c r="T78" s="60" t="s">
        <v>60</v>
      </c>
      <c r="U78" s="61" t="s">
        <v>61</v>
      </c>
    </row>
    <row r="79" spans="1:21" ht="27">
      <c r="A79" s="60" t="s">
        <v>373</v>
      </c>
      <c r="B79" s="60" t="s">
        <v>374</v>
      </c>
      <c r="C79" s="61" t="s">
        <v>49</v>
      </c>
      <c r="D79" s="61" t="s">
        <v>284</v>
      </c>
      <c r="E79" s="56" t="s">
        <v>21</v>
      </c>
      <c r="F79" s="57" t="s">
        <v>51</v>
      </c>
      <c r="G79" s="60" t="s">
        <v>375</v>
      </c>
      <c r="H79" s="60"/>
      <c r="I79" s="60"/>
      <c r="J79" s="58" t="s">
        <v>286</v>
      </c>
      <c r="K79" s="58" t="s">
        <v>287</v>
      </c>
      <c r="L79" s="58" t="s">
        <v>288</v>
      </c>
      <c r="M79" s="60"/>
      <c r="N79" s="64"/>
      <c r="O79" s="60" t="s">
        <v>153</v>
      </c>
      <c r="P79" s="60" t="s">
        <v>376</v>
      </c>
      <c r="Q79" s="60" t="s">
        <v>82</v>
      </c>
      <c r="R79" s="60" t="s">
        <v>21</v>
      </c>
      <c r="S79" s="60" t="s">
        <v>377</v>
      </c>
      <c r="T79" s="60" t="s">
        <v>83</v>
      </c>
      <c r="U79" s="61" t="s">
        <v>61</v>
      </c>
    </row>
    <row r="80" spans="1:21" ht="27">
      <c r="A80" s="60" t="s">
        <v>378</v>
      </c>
      <c r="B80" s="60" t="s">
        <v>379</v>
      </c>
      <c r="C80" s="61" t="s">
        <v>49</v>
      </c>
      <c r="D80" s="61" t="s">
        <v>284</v>
      </c>
      <c r="E80" s="56" t="s">
        <v>21</v>
      </c>
      <c r="F80" s="57" t="s">
        <v>51</v>
      </c>
      <c r="G80" s="60" t="s">
        <v>380</v>
      </c>
      <c r="H80" s="60"/>
      <c r="I80" s="60"/>
      <c r="J80" s="58" t="s">
        <v>286</v>
      </c>
      <c r="K80" s="58" t="s">
        <v>287</v>
      </c>
      <c r="L80" s="58" t="s">
        <v>288</v>
      </c>
      <c r="M80" s="60"/>
      <c r="N80" s="64"/>
      <c r="O80" s="60" t="s">
        <v>123</v>
      </c>
      <c r="P80" s="60" t="s">
        <v>381</v>
      </c>
      <c r="Q80" s="60" t="s">
        <v>82</v>
      </c>
      <c r="R80" s="60" t="s">
        <v>21</v>
      </c>
      <c r="S80" s="60"/>
      <c r="T80" s="60" t="s">
        <v>83</v>
      </c>
      <c r="U80" s="61" t="s">
        <v>61</v>
      </c>
    </row>
    <row r="81" spans="1:21" ht="27">
      <c r="A81" s="60" t="s">
        <v>382</v>
      </c>
      <c r="B81" s="60" t="s">
        <v>383</v>
      </c>
      <c r="C81" s="61" t="s">
        <v>49</v>
      </c>
      <c r="D81" s="61" t="s">
        <v>284</v>
      </c>
      <c r="E81" s="56" t="s">
        <v>21</v>
      </c>
      <c r="F81" s="57" t="s">
        <v>51</v>
      </c>
      <c r="G81" s="60" t="s">
        <v>384</v>
      </c>
      <c r="H81" s="60"/>
      <c r="I81" s="60"/>
      <c r="J81" s="58" t="s">
        <v>286</v>
      </c>
      <c r="K81" s="58" t="s">
        <v>287</v>
      </c>
      <c r="L81" s="58" t="s">
        <v>288</v>
      </c>
      <c r="M81" s="60"/>
      <c r="N81" s="64"/>
      <c r="O81" s="60" t="s">
        <v>117</v>
      </c>
      <c r="P81" s="60" t="s">
        <v>385</v>
      </c>
      <c r="Q81" s="60" t="s">
        <v>82</v>
      </c>
      <c r="R81" s="60" t="s">
        <v>19</v>
      </c>
      <c r="S81" s="60" t="s">
        <v>377</v>
      </c>
      <c r="T81" s="60" t="s">
        <v>83</v>
      </c>
      <c r="U81" s="61" t="s">
        <v>61</v>
      </c>
    </row>
    <row r="82" spans="1:21" ht="27">
      <c r="A82" s="60" t="s">
        <v>386</v>
      </c>
      <c r="B82" s="60" t="s">
        <v>387</v>
      </c>
      <c r="C82" s="61" t="s">
        <v>49</v>
      </c>
      <c r="D82" s="61" t="s">
        <v>284</v>
      </c>
      <c r="E82" s="56" t="s">
        <v>21</v>
      </c>
      <c r="F82" s="57" t="s">
        <v>51</v>
      </c>
      <c r="G82" s="60" t="s">
        <v>192</v>
      </c>
      <c r="H82" s="60"/>
      <c r="I82" s="60"/>
      <c r="J82" s="58" t="s">
        <v>286</v>
      </c>
      <c r="K82" s="58" t="s">
        <v>287</v>
      </c>
      <c r="L82" s="58" t="s">
        <v>288</v>
      </c>
      <c r="M82" s="60"/>
      <c r="N82" s="64"/>
      <c r="O82" s="60" t="s">
        <v>232</v>
      </c>
      <c r="P82" s="60" t="s">
        <v>388</v>
      </c>
      <c r="Q82" s="60" t="s">
        <v>82</v>
      </c>
      <c r="R82" s="60" t="s">
        <v>19</v>
      </c>
      <c r="S82" s="60" t="s">
        <v>389</v>
      </c>
      <c r="T82" s="60" t="s">
        <v>83</v>
      </c>
      <c r="U82" s="61" t="s">
        <v>61</v>
      </c>
    </row>
    <row r="83" spans="1:21" ht="27">
      <c r="A83" s="60" t="s">
        <v>390</v>
      </c>
      <c r="B83" s="60" t="s">
        <v>391</v>
      </c>
      <c r="C83" s="61" t="s">
        <v>49</v>
      </c>
      <c r="D83" s="61" t="s">
        <v>284</v>
      </c>
      <c r="E83" s="56" t="s">
        <v>21</v>
      </c>
      <c r="F83" s="57" t="s">
        <v>51</v>
      </c>
      <c r="G83" s="60" t="s">
        <v>207</v>
      </c>
      <c r="H83" s="60"/>
      <c r="I83" s="60"/>
      <c r="J83" s="58" t="s">
        <v>286</v>
      </c>
      <c r="K83" s="58" t="s">
        <v>287</v>
      </c>
      <c r="L83" s="58" t="s">
        <v>288</v>
      </c>
      <c r="M83" s="60"/>
      <c r="N83" s="64"/>
      <c r="O83" s="60" t="s">
        <v>113</v>
      </c>
      <c r="P83" s="60" t="s">
        <v>392</v>
      </c>
      <c r="Q83" s="60" t="s">
        <v>82</v>
      </c>
      <c r="R83" s="60" t="s">
        <v>21</v>
      </c>
      <c r="S83" s="60" t="s">
        <v>393</v>
      </c>
      <c r="T83" s="60" t="s">
        <v>83</v>
      </c>
      <c r="U83" s="61" t="s">
        <v>61</v>
      </c>
    </row>
    <row r="84" spans="1:21" ht="27">
      <c r="A84" s="60" t="s">
        <v>394</v>
      </c>
      <c r="B84" s="60" t="s">
        <v>395</v>
      </c>
      <c r="C84" s="61" t="s">
        <v>49</v>
      </c>
      <c r="D84" s="61" t="s">
        <v>284</v>
      </c>
      <c r="E84" s="56" t="s">
        <v>21</v>
      </c>
      <c r="F84" s="57" t="s">
        <v>51</v>
      </c>
      <c r="G84" s="60" t="s">
        <v>396</v>
      </c>
      <c r="H84" s="60"/>
      <c r="I84" s="60"/>
      <c r="J84" s="58" t="s">
        <v>286</v>
      </c>
      <c r="K84" s="58" t="s">
        <v>287</v>
      </c>
      <c r="L84" s="58" t="s">
        <v>288</v>
      </c>
      <c r="M84" s="60"/>
      <c r="N84" s="64"/>
      <c r="O84" s="60" t="s">
        <v>166</v>
      </c>
      <c r="P84" s="60" t="s">
        <v>203</v>
      </c>
      <c r="Q84" s="60" t="s">
        <v>82</v>
      </c>
      <c r="R84" s="60" t="s">
        <v>19</v>
      </c>
      <c r="S84" s="60" t="s">
        <v>397</v>
      </c>
      <c r="T84" s="60" t="s">
        <v>83</v>
      </c>
      <c r="U84" s="61" t="s">
        <v>61</v>
      </c>
    </row>
    <row r="85" spans="1:21" ht="27">
      <c r="A85" s="60" t="s">
        <v>398</v>
      </c>
      <c r="B85" s="60" t="s">
        <v>399</v>
      </c>
      <c r="C85" s="61" t="s">
        <v>49</v>
      </c>
      <c r="D85" s="61" t="s">
        <v>284</v>
      </c>
      <c r="E85" s="56" t="s">
        <v>21</v>
      </c>
      <c r="F85" s="57" t="s">
        <v>51</v>
      </c>
      <c r="G85" s="60" t="s">
        <v>400</v>
      </c>
      <c r="H85" s="60"/>
      <c r="I85" s="60"/>
      <c r="J85" s="58" t="s">
        <v>286</v>
      </c>
      <c r="K85" s="58" t="s">
        <v>287</v>
      </c>
      <c r="L85" s="58" t="s">
        <v>288</v>
      </c>
      <c r="M85" s="60"/>
      <c r="N85" s="64"/>
      <c r="O85" s="60" t="s">
        <v>108</v>
      </c>
      <c r="P85" s="60" t="s">
        <v>401</v>
      </c>
      <c r="Q85" s="60" t="s">
        <v>82</v>
      </c>
      <c r="R85" s="60" t="s">
        <v>21</v>
      </c>
      <c r="S85" s="60"/>
      <c r="T85" s="60" t="s">
        <v>83</v>
      </c>
      <c r="U85" s="61" t="s">
        <v>61</v>
      </c>
    </row>
    <row r="86" spans="1:21" ht="27">
      <c r="A86" s="60" t="s">
        <v>402</v>
      </c>
      <c r="B86" s="60" t="s">
        <v>403</v>
      </c>
      <c r="C86" s="61" t="s">
        <v>49</v>
      </c>
      <c r="D86" s="61" t="s">
        <v>284</v>
      </c>
      <c r="E86" s="56" t="s">
        <v>21</v>
      </c>
      <c r="F86" s="57" t="s">
        <v>51</v>
      </c>
      <c r="G86" s="60" t="s">
        <v>211</v>
      </c>
      <c r="H86" s="60"/>
      <c r="I86" s="60"/>
      <c r="J86" s="58" t="s">
        <v>286</v>
      </c>
      <c r="K86" s="58" t="s">
        <v>287</v>
      </c>
      <c r="L86" s="58" t="s">
        <v>288</v>
      </c>
      <c r="M86" s="60"/>
      <c r="N86" s="64"/>
      <c r="O86" s="60" t="s">
        <v>87</v>
      </c>
      <c r="P86" s="60" t="s">
        <v>212</v>
      </c>
      <c r="Q86" s="60" t="s">
        <v>82</v>
      </c>
      <c r="R86" s="60" t="s">
        <v>19</v>
      </c>
      <c r="S86" s="60"/>
      <c r="T86" s="60" t="s">
        <v>141</v>
      </c>
      <c r="U86" s="61" t="s">
        <v>61</v>
      </c>
    </row>
    <row r="87" spans="1:21" ht="27">
      <c r="A87" s="60" t="s">
        <v>404</v>
      </c>
      <c r="B87" s="60" t="s">
        <v>405</v>
      </c>
      <c r="C87" s="61" t="s">
        <v>49</v>
      </c>
      <c r="D87" s="61" t="s">
        <v>284</v>
      </c>
      <c r="E87" s="56" t="s">
        <v>21</v>
      </c>
      <c r="F87" s="57" t="s">
        <v>51</v>
      </c>
      <c r="G87" s="60" t="s">
        <v>406</v>
      </c>
      <c r="H87" s="60"/>
      <c r="I87" s="60"/>
      <c r="J87" s="58" t="s">
        <v>286</v>
      </c>
      <c r="K87" s="58" t="s">
        <v>287</v>
      </c>
      <c r="L87" s="58" t="s">
        <v>288</v>
      </c>
      <c r="M87" s="60"/>
      <c r="N87" s="64"/>
      <c r="O87" s="60" t="s">
        <v>103</v>
      </c>
      <c r="P87" s="60" t="s">
        <v>407</v>
      </c>
      <c r="Q87" s="60" t="s">
        <v>82</v>
      </c>
      <c r="R87" s="60" t="s">
        <v>21</v>
      </c>
      <c r="S87" s="60"/>
      <c r="T87" s="60" t="s">
        <v>141</v>
      </c>
      <c r="U87" s="61" t="s">
        <v>61</v>
      </c>
    </row>
    <row r="88" spans="1:21" ht="27">
      <c r="A88" s="60" t="s">
        <v>408</v>
      </c>
      <c r="B88" s="60" t="s">
        <v>409</v>
      </c>
      <c r="C88" s="61" t="s">
        <v>49</v>
      </c>
      <c r="D88" s="61" t="s">
        <v>284</v>
      </c>
      <c r="E88" s="56" t="s">
        <v>21</v>
      </c>
      <c r="F88" s="57" t="s">
        <v>51</v>
      </c>
      <c r="G88" s="60" t="s">
        <v>139</v>
      </c>
      <c r="H88" s="60"/>
      <c r="I88" s="60"/>
      <c r="J88" s="58" t="s">
        <v>286</v>
      </c>
      <c r="K88" s="58" t="s">
        <v>287</v>
      </c>
      <c r="L88" s="58" t="s">
        <v>288</v>
      </c>
      <c r="M88" s="60"/>
      <c r="N88" s="64"/>
      <c r="O88" s="60" t="s">
        <v>87</v>
      </c>
      <c r="P88" s="60" t="s">
        <v>410</v>
      </c>
      <c r="Q88" s="60" t="s">
        <v>82</v>
      </c>
      <c r="R88" s="60" t="s">
        <v>19</v>
      </c>
      <c r="S88" s="60"/>
      <c r="T88" s="60" t="s">
        <v>228</v>
      </c>
      <c r="U88" s="61" t="s">
        <v>61</v>
      </c>
    </row>
    <row r="89" spans="1:21" ht="27">
      <c r="A89" s="60" t="s">
        <v>411</v>
      </c>
      <c r="B89" s="60" t="s">
        <v>412</v>
      </c>
      <c r="C89" s="61" t="s">
        <v>49</v>
      </c>
      <c r="D89" s="61" t="s">
        <v>284</v>
      </c>
      <c r="E89" s="56" t="s">
        <v>21</v>
      </c>
      <c r="F89" s="57" t="s">
        <v>51</v>
      </c>
      <c r="G89" s="60" t="s">
        <v>413</v>
      </c>
      <c r="H89" s="60"/>
      <c r="I89" s="60"/>
      <c r="J89" s="58" t="s">
        <v>286</v>
      </c>
      <c r="K89" s="58" t="s">
        <v>287</v>
      </c>
      <c r="L89" s="58" t="s">
        <v>288</v>
      </c>
      <c r="M89" s="60"/>
      <c r="N89" s="64"/>
      <c r="O89" s="60" t="s">
        <v>108</v>
      </c>
      <c r="P89" s="60" t="s">
        <v>224</v>
      </c>
      <c r="Q89" s="60" t="s">
        <v>82</v>
      </c>
      <c r="R89" s="60" t="s">
        <v>21</v>
      </c>
      <c r="S89" s="60"/>
      <c r="T89" s="60" t="s">
        <v>141</v>
      </c>
      <c r="U89" s="61" t="s">
        <v>61</v>
      </c>
    </row>
    <row r="90" spans="1:21">
      <c r="A90" s="60" t="s">
        <v>414</v>
      </c>
      <c r="B90" s="60" t="s">
        <v>415</v>
      </c>
      <c r="C90" s="61" t="s">
        <v>49</v>
      </c>
      <c r="D90" s="61" t="s">
        <v>284</v>
      </c>
      <c r="E90" s="56" t="s">
        <v>21</v>
      </c>
      <c r="F90" s="57" t="s">
        <v>51</v>
      </c>
      <c r="G90" s="60" t="s">
        <v>416</v>
      </c>
      <c r="H90" s="60"/>
      <c r="I90" s="60"/>
      <c r="J90" s="58" t="s">
        <v>286</v>
      </c>
      <c r="K90" s="58" t="s">
        <v>287</v>
      </c>
      <c r="L90" s="58" t="s">
        <v>288</v>
      </c>
      <c r="M90" s="60"/>
      <c r="N90" s="64"/>
      <c r="O90" s="60" t="s">
        <v>153</v>
      </c>
      <c r="P90" s="60" t="s">
        <v>220</v>
      </c>
      <c r="Q90" s="60" t="s">
        <v>82</v>
      </c>
      <c r="R90" s="60" t="s">
        <v>21</v>
      </c>
      <c r="S90" s="60"/>
      <c r="T90" s="60" t="s">
        <v>141</v>
      </c>
      <c r="U90" s="61" t="s">
        <v>61</v>
      </c>
    </row>
    <row r="91" spans="1:21">
      <c r="A91" s="60" t="s">
        <v>417</v>
      </c>
      <c r="B91" s="60" t="s">
        <v>418</v>
      </c>
      <c r="C91" s="61" t="s">
        <v>49</v>
      </c>
      <c r="D91" s="61" t="s">
        <v>284</v>
      </c>
      <c r="E91" s="56" t="s">
        <v>21</v>
      </c>
      <c r="F91" s="57" t="s">
        <v>51</v>
      </c>
      <c r="G91" s="60" t="s">
        <v>231</v>
      </c>
      <c r="H91" s="60"/>
      <c r="I91" s="60"/>
      <c r="J91" s="58" t="s">
        <v>286</v>
      </c>
      <c r="K91" s="58" t="s">
        <v>287</v>
      </c>
      <c r="L91" s="58" t="s">
        <v>288</v>
      </c>
      <c r="M91" s="60"/>
      <c r="N91" s="64"/>
      <c r="O91" s="60" t="s">
        <v>232</v>
      </c>
      <c r="P91" s="60" t="s">
        <v>233</v>
      </c>
      <c r="Q91" s="60" t="s">
        <v>89</v>
      </c>
      <c r="R91" s="60" t="s">
        <v>21</v>
      </c>
      <c r="S91" s="60"/>
      <c r="T91" s="60" t="s">
        <v>141</v>
      </c>
      <c r="U91" s="61" t="s">
        <v>61</v>
      </c>
    </row>
    <row r="92" spans="1:21">
      <c r="A92" s="60" t="s">
        <v>419</v>
      </c>
      <c r="B92" s="60" t="s">
        <v>420</v>
      </c>
      <c r="C92" s="61" t="s">
        <v>49</v>
      </c>
      <c r="D92" s="61" t="s">
        <v>284</v>
      </c>
      <c r="E92" s="56" t="s">
        <v>21</v>
      </c>
      <c r="F92" s="57" t="s">
        <v>51</v>
      </c>
      <c r="G92" s="60" t="s">
        <v>236</v>
      </c>
      <c r="H92" s="60"/>
      <c r="I92" s="60"/>
      <c r="J92" s="58" t="s">
        <v>286</v>
      </c>
      <c r="K92" s="58" t="s">
        <v>287</v>
      </c>
      <c r="L92" s="58" t="s">
        <v>288</v>
      </c>
      <c r="M92" s="60"/>
      <c r="N92" s="64"/>
      <c r="O92" s="60" t="s">
        <v>237</v>
      </c>
      <c r="P92" s="60" t="s">
        <v>421</v>
      </c>
      <c r="Q92" s="60" t="s">
        <v>82</v>
      </c>
      <c r="R92" s="60" t="s">
        <v>19</v>
      </c>
      <c r="S92" s="60"/>
      <c r="T92" s="60" t="s">
        <v>228</v>
      </c>
      <c r="U92" s="61" t="s">
        <v>61</v>
      </c>
    </row>
    <row r="93" spans="1:21" ht="27">
      <c r="A93" s="60" t="s">
        <v>422</v>
      </c>
      <c r="B93" s="60" t="s">
        <v>423</v>
      </c>
      <c r="C93" s="61" t="s">
        <v>49</v>
      </c>
      <c r="D93" s="61" t="s">
        <v>284</v>
      </c>
      <c r="E93" s="56" t="s">
        <v>21</v>
      </c>
      <c r="F93" s="57" t="s">
        <v>51</v>
      </c>
      <c r="G93" s="60" t="s">
        <v>424</v>
      </c>
      <c r="H93" s="60"/>
      <c r="I93" s="60"/>
      <c r="J93" s="58" t="s">
        <v>286</v>
      </c>
      <c r="K93" s="58" t="s">
        <v>287</v>
      </c>
      <c r="L93" s="58" t="s">
        <v>288</v>
      </c>
      <c r="M93" s="60"/>
      <c r="N93" s="64"/>
      <c r="O93" s="60" t="s">
        <v>166</v>
      </c>
      <c r="P93" s="60" t="s">
        <v>242</v>
      </c>
      <c r="Q93" s="60" t="s">
        <v>82</v>
      </c>
      <c r="R93" s="60" t="s">
        <v>19</v>
      </c>
      <c r="S93" s="60"/>
      <c r="T93" s="60" t="s">
        <v>228</v>
      </c>
      <c r="U93" s="61" t="s">
        <v>61</v>
      </c>
    </row>
    <row r="94" spans="1:21" ht="27">
      <c r="A94" s="60" t="s">
        <v>425</v>
      </c>
      <c r="B94" s="60" t="s">
        <v>426</v>
      </c>
      <c r="C94" s="61" t="s">
        <v>49</v>
      </c>
      <c r="D94" s="61" t="s">
        <v>284</v>
      </c>
      <c r="E94" s="56" t="s">
        <v>21</v>
      </c>
      <c r="F94" s="57" t="s">
        <v>51</v>
      </c>
      <c r="G94" s="60" t="s">
        <v>427</v>
      </c>
      <c r="H94" s="60"/>
      <c r="I94" s="60"/>
      <c r="J94" s="58" t="s">
        <v>286</v>
      </c>
      <c r="K94" s="58" t="s">
        <v>287</v>
      </c>
      <c r="L94" s="58" t="s">
        <v>288</v>
      </c>
      <c r="M94" s="60"/>
      <c r="N94" s="64"/>
      <c r="O94" s="60" t="s">
        <v>87</v>
      </c>
      <c r="P94" s="60" t="s">
        <v>246</v>
      </c>
      <c r="Q94" s="60" t="s">
        <v>89</v>
      </c>
      <c r="R94" s="60" t="s">
        <v>19</v>
      </c>
      <c r="S94" s="60"/>
      <c r="T94" s="60" t="s">
        <v>119</v>
      </c>
      <c r="U94" s="61" t="s">
        <v>61</v>
      </c>
    </row>
    <row r="95" spans="1:21" ht="27">
      <c r="A95" s="60" t="s">
        <v>428</v>
      </c>
      <c r="B95" s="60" t="s">
        <v>429</v>
      </c>
      <c r="C95" s="61" t="s">
        <v>49</v>
      </c>
      <c r="D95" s="61" t="s">
        <v>284</v>
      </c>
      <c r="E95" s="56" t="s">
        <v>21</v>
      </c>
      <c r="F95" s="57" t="s">
        <v>51</v>
      </c>
      <c r="G95" s="60" t="s">
        <v>430</v>
      </c>
      <c r="H95" s="60"/>
      <c r="I95" s="60"/>
      <c r="J95" s="58" t="s">
        <v>286</v>
      </c>
      <c r="K95" s="58" t="s">
        <v>287</v>
      </c>
      <c r="L95" s="58" t="s">
        <v>288</v>
      </c>
      <c r="M95" s="60"/>
      <c r="N95" s="64"/>
      <c r="O95" s="60" t="s">
        <v>103</v>
      </c>
      <c r="P95" s="60" t="s">
        <v>431</v>
      </c>
      <c r="Q95" s="60" t="s">
        <v>82</v>
      </c>
      <c r="R95" s="60" t="s">
        <v>19</v>
      </c>
      <c r="S95" s="60"/>
      <c r="T95" s="60" t="s">
        <v>119</v>
      </c>
      <c r="U95" s="61" t="s">
        <v>61</v>
      </c>
    </row>
    <row r="96" spans="1:21" ht="27">
      <c r="A96" s="60" t="s">
        <v>432</v>
      </c>
      <c r="B96" s="60" t="s">
        <v>433</v>
      </c>
      <c r="C96" s="61" t="s">
        <v>49</v>
      </c>
      <c r="D96" s="61" t="s">
        <v>284</v>
      </c>
      <c r="E96" s="56" t="s">
        <v>21</v>
      </c>
      <c r="F96" s="57" t="s">
        <v>51</v>
      </c>
      <c r="G96" s="60" t="s">
        <v>434</v>
      </c>
      <c r="H96" s="60"/>
      <c r="I96" s="60"/>
      <c r="J96" s="58" t="s">
        <v>286</v>
      </c>
      <c r="K96" s="58" t="s">
        <v>287</v>
      </c>
      <c r="L96" s="58" t="s">
        <v>288</v>
      </c>
      <c r="M96" s="60"/>
      <c r="N96" s="64"/>
      <c r="O96" s="60" t="s">
        <v>108</v>
      </c>
      <c r="P96" s="60" t="s">
        <v>254</v>
      </c>
      <c r="Q96" s="60" t="s">
        <v>82</v>
      </c>
      <c r="R96" s="60" t="s">
        <v>19</v>
      </c>
      <c r="S96" s="60"/>
      <c r="T96" s="60" t="s">
        <v>141</v>
      </c>
      <c r="U96" s="61" t="s">
        <v>61</v>
      </c>
    </row>
    <row r="97" spans="1:21">
      <c r="A97" s="60" t="s">
        <v>435</v>
      </c>
      <c r="B97" s="60" t="s">
        <v>436</v>
      </c>
      <c r="C97" s="61" t="s">
        <v>49</v>
      </c>
      <c r="D97" s="61" t="s">
        <v>284</v>
      </c>
      <c r="E97" s="56" t="s">
        <v>21</v>
      </c>
      <c r="F97" s="57" t="s">
        <v>51</v>
      </c>
      <c r="G97" s="60" t="s">
        <v>437</v>
      </c>
      <c r="H97" s="60"/>
      <c r="I97" s="60"/>
      <c r="J97" s="58" t="s">
        <v>286</v>
      </c>
      <c r="K97" s="58" t="s">
        <v>287</v>
      </c>
      <c r="L97" s="58" t="s">
        <v>288</v>
      </c>
      <c r="M97" s="60"/>
      <c r="N97" s="64"/>
      <c r="O97" s="60" t="s">
        <v>153</v>
      </c>
      <c r="P97" s="60" t="s">
        <v>273</v>
      </c>
      <c r="Q97" s="60" t="s">
        <v>82</v>
      </c>
      <c r="R97" s="60" t="s">
        <v>19</v>
      </c>
      <c r="S97" s="60"/>
      <c r="T97" s="60" t="s">
        <v>141</v>
      </c>
      <c r="U97" s="61" t="s">
        <v>61</v>
      </c>
    </row>
    <row r="98" spans="1:21" ht="27">
      <c r="A98" s="60" t="s">
        <v>438</v>
      </c>
      <c r="B98" s="60" t="s">
        <v>439</v>
      </c>
      <c r="C98" s="61" t="s">
        <v>49</v>
      </c>
      <c r="D98" s="61" t="s">
        <v>284</v>
      </c>
      <c r="E98" s="56" t="s">
        <v>21</v>
      </c>
      <c r="F98" s="57" t="s">
        <v>51</v>
      </c>
      <c r="G98" s="60" t="s">
        <v>440</v>
      </c>
      <c r="H98" s="60"/>
      <c r="I98" s="60"/>
      <c r="J98" s="58" t="s">
        <v>286</v>
      </c>
      <c r="K98" s="58" t="s">
        <v>287</v>
      </c>
      <c r="L98" s="58" t="s">
        <v>288</v>
      </c>
      <c r="M98" s="60"/>
      <c r="N98" s="64"/>
      <c r="O98" s="60" t="s">
        <v>113</v>
      </c>
      <c r="P98" s="60" t="s">
        <v>441</v>
      </c>
      <c r="Q98" s="60" t="s">
        <v>89</v>
      </c>
      <c r="R98" s="60" t="s">
        <v>21</v>
      </c>
      <c r="S98" s="60"/>
      <c r="T98" s="60" t="s">
        <v>119</v>
      </c>
      <c r="U98" s="61" t="s">
        <v>61</v>
      </c>
    </row>
    <row r="99" spans="1:21" ht="27">
      <c r="A99" s="60" t="s">
        <v>442</v>
      </c>
      <c r="B99" s="60" t="s">
        <v>443</v>
      </c>
      <c r="C99" s="61" t="s">
        <v>49</v>
      </c>
      <c r="D99" s="61" t="s">
        <v>284</v>
      </c>
      <c r="E99" s="56" t="s">
        <v>21</v>
      </c>
      <c r="F99" s="57" t="s">
        <v>51</v>
      </c>
      <c r="G99" s="60" t="s">
        <v>444</v>
      </c>
      <c r="H99" s="60"/>
      <c r="I99" s="60"/>
      <c r="J99" s="58" t="s">
        <v>286</v>
      </c>
      <c r="K99" s="58" t="s">
        <v>287</v>
      </c>
      <c r="L99" s="58" t="s">
        <v>288</v>
      </c>
      <c r="M99" s="60"/>
      <c r="N99" s="64"/>
      <c r="O99" s="60" t="s">
        <v>166</v>
      </c>
      <c r="P99" s="60" t="s">
        <v>445</v>
      </c>
      <c r="Q99" s="60" t="s">
        <v>82</v>
      </c>
      <c r="R99" s="60" t="s">
        <v>19</v>
      </c>
      <c r="S99" s="60"/>
      <c r="T99" s="60" t="s">
        <v>119</v>
      </c>
      <c r="U99" s="61" t="s">
        <v>61</v>
      </c>
    </row>
    <row r="100" spans="1:21">
      <c r="A100" s="60" t="s">
        <v>446</v>
      </c>
      <c r="B100" s="60" t="s">
        <v>447</v>
      </c>
      <c r="C100" s="61" t="s">
        <v>49</v>
      </c>
      <c r="D100" s="61" t="s">
        <v>284</v>
      </c>
      <c r="E100" s="56" t="s">
        <v>21</v>
      </c>
      <c r="F100" s="57" t="s">
        <v>51</v>
      </c>
      <c r="G100" s="60" t="s">
        <v>448</v>
      </c>
      <c r="H100" s="60"/>
      <c r="I100" s="60"/>
      <c r="J100" s="58" t="s">
        <v>286</v>
      </c>
      <c r="K100" s="58" t="s">
        <v>287</v>
      </c>
      <c r="L100" s="58" t="s">
        <v>288</v>
      </c>
      <c r="M100" s="60"/>
      <c r="N100" s="64"/>
      <c r="O100" s="60" t="s">
        <v>117</v>
      </c>
      <c r="P100" s="60" t="s">
        <v>158</v>
      </c>
      <c r="Q100" s="60" t="s">
        <v>59</v>
      </c>
      <c r="R100" s="60" t="s">
        <v>21</v>
      </c>
      <c r="S100" s="60"/>
      <c r="T100" s="60" t="s">
        <v>60</v>
      </c>
      <c r="U100" s="61" t="s">
        <v>61</v>
      </c>
    </row>
    <row r="101" spans="1:21" ht="27">
      <c r="A101" s="60" t="s">
        <v>449</v>
      </c>
      <c r="B101" s="60" t="s">
        <v>450</v>
      </c>
      <c r="C101" s="61" t="s">
        <v>49</v>
      </c>
      <c r="D101" s="61" t="s">
        <v>284</v>
      </c>
      <c r="E101" s="56" t="s">
        <v>21</v>
      </c>
      <c r="F101" s="57" t="s">
        <v>51</v>
      </c>
      <c r="G101" s="60" t="s">
        <v>451</v>
      </c>
      <c r="H101" s="60"/>
      <c r="I101" s="60"/>
      <c r="J101" s="58" t="s">
        <v>286</v>
      </c>
      <c r="K101" s="58" t="s">
        <v>287</v>
      </c>
      <c r="L101" s="58" t="s">
        <v>288</v>
      </c>
      <c r="M101" s="60"/>
      <c r="N101" s="64"/>
      <c r="O101" s="60" t="s">
        <v>123</v>
      </c>
      <c r="P101" s="60" t="s">
        <v>452</v>
      </c>
      <c r="Q101" s="60" t="s">
        <v>59</v>
      </c>
      <c r="R101" s="60" t="s">
        <v>19</v>
      </c>
      <c r="S101" s="60"/>
      <c r="T101" s="60" t="s">
        <v>60</v>
      </c>
      <c r="U101" s="61" t="s">
        <v>61</v>
      </c>
    </row>
    <row r="102" spans="1:21" ht="27">
      <c r="A102" s="60" t="s">
        <v>453</v>
      </c>
      <c r="B102" s="60" t="s">
        <v>454</v>
      </c>
      <c r="C102" s="61" t="s">
        <v>49</v>
      </c>
      <c r="D102" s="61" t="s">
        <v>284</v>
      </c>
      <c r="E102" s="56" t="s">
        <v>21</v>
      </c>
      <c r="F102" s="57" t="s">
        <v>51</v>
      </c>
      <c r="G102" s="60" t="s">
        <v>455</v>
      </c>
      <c r="H102" s="60"/>
      <c r="I102" s="60"/>
      <c r="J102" s="58" t="s">
        <v>286</v>
      </c>
      <c r="K102" s="58" t="s">
        <v>287</v>
      </c>
      <c r="L102" s="58" t="s">
        <v>288</v>
      </c>
      <c r="M102" s="60"/>
      <c r="N102" s="64"/>
      <c r="O102" s="60" t="s">
        <v>232</v>
      </c>
      <c r="P102" s="60" t="s">
        <v>456</v>
      </c>
      <c r="Q102" s="60" t="s">
        <v>82</v>
      </c>
      <c r="R102" s="60" t="s">
        <v>21</v>
      </c>
      <c r="S102" s="60"/>
      <c r="T102" s="60" t="s">
        <v>83</v>
      </c>
      <c r="U102" s="61" t="s">
        <v>61</v>
      </c>
    </row>
    <row r="103" spans="1:21" ht="27">
      <c r="A103" s="60" t="s">
        <v>457</v>
      </c>
      <c r="B103" s="60" t="s">
        <v>458</v>
      </c>
      <c r="C103" s="61" t="s">
        <v>49</v>
      </c>
      <c r="D103" s="61" t="s">
        <v>284</v>
      </c>
      <c r="E103" s="56" t="s">
        <v>21</v>
      </c>
      <c r="F103" s="57" t="s">
        <v>51</v>
      </c>
      <c r="G103" s="60" t="s">
        <v>459</v>
      </c>
      <c r="H103" s="60"/>
      <c r="I103" s="60"/>
      <c r="J103" s="58" t="s">
        <v>286</v>
      </c>
      <c r="K103" s="58" t="s">
        <v>287</v>
      </c>
      <c r="L103" s="58" t="s">
        <v>288</v>
      </c>
      <c r="M103" s="60"/>
      <c r="N103" s="64"/>
      <c r="O103" s="60" t="s">
        <v>103</v>
      </c>
      <c r="P103" s="60" t="s">
        <v>460</v>
      </c>
      <c r="Q103" s="60" t="s">
        <v>82</v>
      </c>
      <c r="R103" s="60" t="s">
        <v>21</v>
      </c>
      <c r="S103" s="60"/>
      <c r="T103" s="60" t="s">
        <v>60</v>
      </c>
      <c r="U103" s="61" t="s">
        <v>61</v>
      </c>
    </row>
    <row r="104" spans="1:21" ht="27">
      <c r="A104" s="60" t="s">
        <v>461</v>
      </c>
      <c r="B104" s="60" t="s">
        <v>462</v>
      </c>
      <c r="C104" s="61" t="s">
        <v>49</v>
      </c>
      <c r="D104" s="61" t="s">
        <v>463</v>
      </c>
      <c r="E104" s="56" t="s">
        <v>21</v>
      </c>
      <c r="F104" s="57" t="s">
        <v>51</v>
      </c>
      <c r="G104" s="60" t="s">
        <v>464</v>
      </c>
      <c r="H104" s="60"/>
      <c r="I104" s="60"/>
      <c r="J104" s="58" t="s">
        <v>465</v>
      </c>
      <c r="K104" s="58" t="s">
        <v>466</v>
      </c>
      <c r="L104" s="58" t="s">
        <v>288</v>
      </c>
      <c r="M104" s="60" t="s">
        <v>289</v>
      </c>
      <c r="N104" s="64"/>
      <c r="O104" s="60" t="s">
        <v>57</v>
      </c>
      <c r="P104" s="60" t="s">
        <v>467</v>
      </c>
      <c r="Q104" s="60" t="s">
        <v>89</v>
      </c>
      <c r="R104" s="60" t="s">
        <v>21</v>
      </c>
      <c r="S104" s="60"/>
      <c r="T104" s="60" t="s">
        <v>60</v>
      </c>
      <c r="U104" s="61" t="s">
        <v>61</v>
      </c>
    </row>
    <row r="105" spans="1:21" ht="27">
      <c r="A105" s="60" t="s">
        <v>468</v>
      </c>
      <c r="B105" s="60" t="s">
        <v>63</v>
      </c>
      <c r="C105" s="61" t="s">
        <v>49</v>
      </c>
      <c r="D105" s="61" t="s">
        <v>463</v>
      </c>
      <c r="E105" s="56" t="s">
        <v>21</v>
      </c>
      <c r="F105" s="57" t="s">
        <v>51</v>
      </c>
      <c r="G105" s="60" t="s">
        <v>64</v>
      </c>
      <c r="H105" s="60"/>
      <c r="I105" s="60"/>
      <c r="J105" s="58" t="s">
        <v>465</v>
      </c>
      <c r="K105" s="58" t="s">
        <v>466</v>
      </c>
      <c r="L105" s="58" t="s">
        <v>288</v>
      </c>
      <c r="M105" s="60" t="s">
        <v>56</v>
      </c>
      <c r="N105" s="64"/>
      <c r="O105" s="60" t="s">
        <v>65</v>
      </c>
      <c r="P105" s="60" t="s">
        <v>469</v>
      </c>
      <c r="Q105" s="60" t="s">
        <v>59</v>
      </c>
      <c r="R105" s="60" t="s">
        <v>19</v>
      </c>
      <c r="S105" s="60"/>
      <c r="T105" s="60" t="s">
        <v>60</v>
      </c>
      <c r="U105" s="61" t="s">
        <v>61</v>
      </c>
    </row>
    <row r="106" spans="1:21" ht="27">
      <c r="A106" s="60" t="s">
        <v>470</v>
      </c>
      <c r="B106" s="60" t="s">
        <v>471</v>
      </c>
      <c r="C106" s="61" t="s">
        <v>49</v>
      </c>
      <c r="D106" s="61" t="s">
        <v>463</v>
      </c>
      <c r="E106" s="56" t="s">
        <v>21</v>
      </c>
      <c r="F106" s="57" t="s">
        <v>51</v>
      </c>
      <c r="G106" s="60" t="s">
        <v>472</v>
      </c>
      <c r="H106" s="60"/>
      <c r="I106" s="60"/>
      <c r="J106" s="58" t="s">
        <v>465</v>
      </c>
      <c r="K106" s="58" t="s">
        <v>466</v>
      </c>
      <c r="L106" s="58" t="s">
        <v>288</v>
      </c>
      <c r="M106" s="60"/>
      <c r="N106" s="64"/>
      <c r="O106" s="60" t="s">
        <v>87</v>
      </c>
      <c r="P106" s="60" t="s">
        <v>473</v>
      </c>
      <c r="Q106" s="60" t="s">
        <v>89</v>
      </c>
      <c r="R106" s="60" t="s">
        <v>21</v>
      </c>
      <c r="S106" s="60"/>
      <c r="T106" s="60" t="s">
        <v>60</v>
      </c>
      <c r="U106" s="61" t="s">
        <v>61</v>
      </c>
    </row>
    <row r="107" spans="1:21" ht="27">
      <c r="A107" s="60" t="s">
        <v>474</v>
      </c>
      <c r="B107" s="60" t="s">
        <v>475</v>
      </c>
      <c r="C107" s="61" t="s">
        <v>49</v>
      </c>
      <c r="D107" s="61" t="s">
        <v>463</v>
      </c>
      <c r="E107" s="56" t="s">
        <v>21</v>
      </c>
      <c r="F107" s="57" t="s">
        <v>51</v>
      </c>
      <c r="G107" s="60" t="s">
        <v>476</v>
      </c>
      <c r="H107" s="60"/>
      <c r="I107" s="60"/>
      <c r="J107" s="58" t="s">
        <v>465</v>
      </c>
      <c r="K107" s="58" t="s">
        <v>466</v>
      </c>
      <c r="L107" s="58" t="s">
        <v>288</v>
      </c>
      <c r="M107" s="60" t="s">
        <v>298</v>
      </c>
      <c r="N107" s="64"/>
      <c r="O107" s="60" t="s">
        <v>93</v>
      </c>
      <c r="P107" s="60" t="s">
        <v>477</v>
      </c>
      <c r="Q107" s="60" t="s">
        <v>82</v>
      </c>
      <c r="R107" s="60" t="s">
        <v>21</v>
      </c>
      <c r="S107" s="60"/>
      <c r="T107" s="60" t="s">
        <v>83</v>
      </c>
      <c r="U107" s="61" t="s">
        <v>61</v>
      </c>
    </row>
    <row r="108" spans="1:21" ht="27">
      <c r="A108" s="60" t="s">
        <v>478</v>
      </c>
      <c r="B108" s="60" t="s">
        <v>479</v>
      </c>
      <c r="C108" s="61" t="s">
        <v>49</v>
      </c>
      <c r="D108" s="61" t="s">
        <v>463</v>
      </c>
      <c r="E108" s="56" t="s">
        <v>21</v>
      </c>
      <c r="F108" s="57" t="s">
        <v>51</v>
      </c>
      <c r="G108" s="60" t="s">
        <v>480</v>
      </c>
      <c r="H108" s="60"/>
      <c r="I108" s="60"/>
      <c r="J108" s="58" t="s">
        <v>465</v>
      </c>
      <c r="K108" s="58" t="s">
        <v>466</v>
      </c>
      <c r="L108" s="58" t="s">
        <v>288</v>
      </c>
      <c r="M108" s="60"/>
      <c r="N108" s="64"/>
      <c r="O108" s="60" t="s">
        <v>98</v>
      </c>
      <c r="P108" s="60" t="s">
        <v>88</v>
      </c>
      <c r="Q108" s="60" t="s">
        <v>89</v>
      </c>
      <c r="R108" s="60" t="s">
        <v>21</v>
      </c>
      <c r="S108" s="60"/>
      <c r="T108" s="60" t="s">
        <v>60</v>
      </c>
      <c r="U108" s="61" t="s">
        <v>61</v>
      </c>
    </row>
    <row r="109" spans="1:21" ht="27">
      <c r="A109" s="60" t="s">
        <v>481</v>
      </c>
      <c r="B109" s="60" t="s">
        <v>482</v>
      </c>
      <c r="C109" s="61" t="s">
        <v>49</v>
      </c>
      <c r="D109" s="61" t="s">
        <v>463</v>
      </c>
      <c r="E109" s="56" t="s">
        <v>21</v>
      </c>
      <c r="F109" s="57" t="s">
        <v>51</v>
      </c>
      <c r="G109" s="60" t="s">
        <v>305</v>
      </c>
      <c r="H109" s="60"/>
      <c r="I109" s="60"/>
      <c r="J109" s="58" t="s">
        <v>465</v>
      </c>
      <c r="K109" s="58" t="s">
        <v>466</v>
      </c>
      <c r="L109" s="58" t="s">
        <v>288</v>
      </c>
      <c r="M109" s="60"/>
      <c r="N109" s="64"/>
      <c r="O109" s="60" t="s">
        <v>103</v>
      </c>
      <c r="P109" s="60" t="s">
        <v>483</v>
      </c>
      <c r="Q109" s="60" t="s">
        <v>89</v>
      </c>
      <c r="R109" s="60" t="s">
        <v>21</v>
      </c>
      <c r="S109" s="60"/>
      <c r="T109" s="60" t="s">
        <v>60</v>
      </c>
      <c r="U109" s="61" t="s">
        <v>61</v>
      </c>
    </row>
    <row r="110" spans="1:21" ht="27">
      <c r="A110" s="60" t="s">
        <v>484</v>
      </c>
      <c r="B110" s="60" t="s">
        <v>485</v>
      </c>
      <c r="C110" s="61" t="s">
        <v>49</v>
      </c>
      <c r="D110" s="61" t="s">
        <v>463</v>
      </c>
      <c r="E110" s="56" t="s">
        <v>21</v>
      </c>
      <c r="F110" s="57" t="s">
        <v>51</v>
      </c>
      <c r="G110" s="60" t="s">
        <v>486</v>
      </c>
      <c r="H110" s="60"/>
      <c r="I110" s="60"/>
      <c r="J110" s="58" t="s">
        <v>465</v>
      </c>
      <c r="K110" s="58" t="s">
        <v>466</v>
      </c>
      <c r="L110" s="58" t="s">
        <v>288</v>
      </c>
      <c r="M110" s="60"/>
      <c r="N110" s="64"/>
      <c r="O110" s="60" t="s">
        <v>108</v>
      </c>
      <c r="P110" s="60" t="s">
        <v>487</v>
      </c>
      <c r="Q110" s="60" t="s">
        <v>59</v>
      </c>
      <c r="R110" s="60" t="s">
        <v>21</v>
      </c>
      <c r="S110" s="60"/>
      <c r="T110" s="60" t="s">
        <v>60</v>
      </c>
      <c r="U110" s="61" t="s">
        <v>61</v>
      </c>
    </row>
    <row r="111" spans="1:21" ht="27">
      <c r="A111" s="60" t="s">
        <v>488</v>
      </c>
      <c r="B111" s="60" t="s">
        <v>101</v>
      </c>
      <c r="C111" s="61" t="s">
        <v>49</v>
      </c>
      <c r="D111" s="61" t="s">
        <v>463</v>
      </c>
      <c r="E111" s="56" t="s">
        <v>21</v>
      </c>
      <c r="F111" s="57" t="s">
        <v>51</v>
      </c>
      <c r="G111" s="60" t="s">
        <v>316</v>
      </c>
      <c r="H111" s="60"/>
      <c r="I111" s="60"/>
      <c r="J111" s="58" t="s">
        <v>465</v>
      </c>
      <c r="K111" s="58" t="s">
        <v>466</v>
      </c>
      <c r="L111" s="58" t="s">
        <v>288</v>
      </c>
      <c r="M111" s="60"/>
      <c r="N111" s="64"/>
      <c r="O111" s="60" t="s">
        <v>153</v>
      </c>
      <c r="P111" s="60" t="s">
        <v>158</v>
      </c>
      <c r="Q111" s="60" t="s">
        <v>89</v>
      </c>
      <c r="R111" s="60" t="s">
        <v>26</v>
      </c>
      <c r="S111" s="60"/>
      <c r="T111" s="60" t="s">
        <v>60</v>
      </c>
      <c r="U111" s="61" t="s">
        <v>61</v>
      </c>
    </row>
    <row r="112" spans="1:21" ht="27">
      <c r="A112" s="60" t="s">
        <v>489</v>
      </c>
      <c r="B112" s="60" t="s">
        <v>490</v>
      </c>
      <c r="C112" s="61" t="s">
        <v>49</v>
      </c>
      <c r="D112" s="61" t="s">
        <v>463</v>
      </c>
      <c r="E112" s="56" t="s">
        <v>21</v>
      </c>
      <c r="F112" s="57" t="s">
        <v>51</v>
      </c>
      <c r="G112" s="60" t="s">
        <v>491</v>
      </c>
      <c r="H112" s="60"/>
      <c r="I112" s="60"/>
      <c r="J112" s="58" t="s">
        <v>465</v>
      </c>
      <c r="K112" s="58" t="s">
        <v>466</v>
      </c>
      <c r="L112" s="58" t="s">
        <v>288</v>
      </c>
      <c r="M112" s="60"/>
      <c r="N112" s="64"/>
      <c r="O112" s="60" t="s">
        <v>123</v>
      </c>
      <c r="P112" s="60" t="s">
        <v>492</v>
      </c>
      <c r="Q112" s="60" t="s">
        <v>89</v>
      </c>
      <c r="R112" s="60" t="s">
        <v>21</v>
      </c>
      <c r="S112" s="60"/>
      <c r="T112" s="60" t="s">
        <v>60</v>
      </c>
      <c r="U112" s="61" t="s">
        <v>61</v>
      </c>
    </row>
    <row r="113" spans="1:21" ht="27">
      <c r="A113" s="60" t="s">
        <v>493</v>
      </c>
      <c r="B113" s="60" t="s">
        <v>494</v>
      </c>
      <c r="C113" s="61" t="s">
        <v>49</v>
      </c>
      <c r="D113" s="61" t="s">
        <v>463</v>
      </c>
      <c r="E113" s="56" t="s">
        <v>21</v>
      </c>
      <c r="F113" s="57" t="s">
        <v>51</v>
      </c>
      <c r="G113" s="60" t="s">
        <v>495</v>
      </c>
      <c r="H113" s="60"/>
      <c r="I113" s="60"/>
      <c r="J113" s="58" t="s">
        <v>465</v>
      </c>
      <c r="K113" s="58" t="s">
        <v>466</v>
      </c>
      <c r="L113" s="58" t="s">
        <v>288</v>
      </c>
      <c r="M113" s="60"/>
      <c r="N113" s="64"/>
      <c r="O113" s="60" t="s">
        <v>117</v>
      </c>
      <c r="P113" s="60" t="s">
        <v>496</v>
      </c>
      <c r="Q113" s="60" t="s">
        <v>82</v>
      </c>
      <c r="R113" s="60" t="s">
        <v>21</v>
      </c>
      <c r="S113" s="60"/>
      <c r="T113" s="60" t="s">
        <v>60</v>
      </c>
      <c r="U113" s="61" t="s">
        <v>61</v>
      </c>
    </row>
    <row r="114" spans="1:21" ht="27">
      <c r="A114" s="60" t="s">
        <v>497</v>
      </c>
      <c r="B114" s="60" t="s">
        <v>498</v>
      </c>
      <c r="C114" s="61" t="s">
        <v>49</v>
      </c>
      <c r="D114" s="61" t="s">
        <v>463</v>
      </c>
      <c r="E114" s="56" t="s">
        <v>21</v>
      </c>
      <c r="F114" s="57" t="s">
        <v>51</v>
      </c>
      <c r="G114" s="60" t="s">
        <v>324</v>
      </c>
      <c r="H114" s="60"/>
      <c r="I114" s="60"/>
      <c r="J114" s="58" t="s">
        <v>465</v>
      </c>
      <c r="K114" s="58" t="s">
        <v>466</v>
      </c>
      <c r="L114" s="58" t="s">
        <v>288</v>
      </c>
      <c r="M114" s="60"/>
      <c r="N114" s="64"/>
      <c r="O114" s="60" t="s">
        <v>232</v>
      </c>
      <c r="P114" s="60" t="s">
        <v>499</v>
      </c>
      <c r="Q114" s="60" t="s">
        <v>89</v>
      </c>
      <c r="R114" s="60" t="s">
        <v>19</v>
      </c>
      <c r="S114" s="60"/>
      <c r="T114" s="60" t="s">
        <v>119</v>
      </c>
      <c r="U114" s="61" t="s">
        <v>61</v>
      </c>
    </row>
    <row r="115" spans="1:21" ht="27">
      <c r="A115" s="60" t="s">
        <v>500</v>
      </c>
      <c r="B115" s="60" t="s">
        <v>501</v>
      </c>
      <c r="C115" s="61" t="s">
        <v>49</v>
      </c>
      <c r="D115" s="61" t="s">
        <v>463</v>
      </c>
      <c r="E115" s="56" t="s">
        <v>21</v>
      </c>
      <c r="F115" s="57" t="s">
        <v>51</v>
      </c>
      <c r="G115" s="60" t="s">
        <v>502</v>
      </c>
      <c r="H115" s="60"/>
      <c r="I115" s="60"/>
      <c r="J115" s="58" t="s">
        <v>465</v>
      </c>
      <c r="K115" s="58" t="s">
        <v>466</v>
      </c>
      <c r="L115" s="58" t="s">
        <v>288</v>
      </c>
      <c r="M115" s="60"/>
      <c r="N115" s="64"/>
      <c r="O115" s="60" t="s">
        <v>57</v>
      </c>
      <c r="P115" s="60" t="s">
        <v>329</v>
      </c>
      <c r="Q115" s="60" t="s">
        <v>82</v>
      </c>
      <c r="R115" s="60" t="s">
        <v>19</v>
      </c>
      <c r="S115" s="60"/>
      <c r="T115" s="60" t="s">
        <v>60</v>
      </c>
      <c r="U115" s="61" t="s">
        <v>61</v>
      </c>
    </row>
    <row r="116" spans="1:21" ht="27">
      <c r="A116" s="60" t="s">
        <v>503</v>
      </c>
      <c r="B116" s="60" t="s">
        <v>504</v>
      </c>
      <c r="C116" s="61" t="s">
        <v>49</v>
      </c>
      <c r="D116" s="61" t="s">
        <v>463</v>
      </c>
      <c r="E116" s="56" t="s">
        <v>21</v>
      </c>
      <c r="F116" s="57" t="s">
        <v>51</v>
      </c>
      <c r="G116" s="60" t="s">
        <v>131</v>
      </c>
      <c r="H116" s="60"/>
      <c r="I116" s="60"/>
      <c r="J116" s="58" t="s">
        <v>465</v>
      </c>
      <c r="K116" s="58" t="s">
        <v>466</v>
      </c>
      <c r="L116" s="58" t="s">
        <v>288</v>
      </c>
      <c r="M116" s="60"/>
      <c r="N116" s="64"/>
      <c r="O116" s="60" t="s">
        <v>87</v>
      </c>
      <c r="P116" s="60" t="s">
        <v>505</v>
      </c>
      <c r="Q116" s="60" t="s">
        <v>82</v>
      </c>
      <c r="R116" s="60" t="s">
        <v>21</v>
      </c>
      <c r="S116" s="60"/>
      <c r="T116" s="60" t="s">
        <v>60</v>
      </c>
      <c r="U116" s="61" t="s">
        <v>61</v>
      </c>
    </row>
    <row r="117" spans="1:21" ht="27">
      <c r="A117" s="60" t="s">
        <v>506</v>
      </c>
      <c r="B117" s="60" t="s">
        <v>507</v>
      </c>
      <c r="C117" s="61" t="s">
        <v>49</v>
      </c>
      <c r="D117" s="61" t="s">
        <v>463</v>
      </c>
      <c r="E117" s="56" t="s">
        <v>21</v>
      </c>
      <c r="F117" s="57" t="s">
        <v>51</v>
      </c>
      <c r="G117" s="60" t="s">
        <v>508</v>
      </c>
      <c r="H117" s="60"/>
      <c r="I117" s="60"/>
      <c r="J117" s="58" t="s">
        <v>465</v>
      </c>
      <c r="K117" s="58" t="s">
        <v>466</v>
      </c>
      <c r="L117" s="58" t="s">
        <v>288</v>
      </c>
      <c r="M117" s="60"/>
      <c r="N117" s="64"/>
      <c r="O117" s="60" t="s">
        <v>93</v>
      </c>
      <c r="P117" s="60" t="s">
        <v>509</v>
      </c>
      <c r="Q117" s="60" t="s">
        <v>89</v>
      </c>
      <c r="R117" s="60" t="s">
        <v>21</v>
      </c>
      <c r="S117" s="60"/>
      <c r="T117" s="60" t="s">
        <v>60</v>
      </c>
      <c r="U117" s="61" t="s">
        <v>61</v>
      </c>
    </row>
    <row r="118" spans="1:21" ht="27">
      <c r="A118" s="60" t="s">
        <v>510</v>
      </c>
      <c r="B118" s="60" t="s">
        <v>511</v>
      </c>
      <c r="C118" s="61" t="s">
        <v>49</v>
      </c>
      <c r="D118" s="61" t="s">
        <v>463</v>
      </c>
      <c r="E118" s="56" t="s">
        <v>21</v>
      </c>
      <c r="F118" s="57" t="s">
        <v>51</v>
      </c>
      <c r="G118" s="60" t="s">
        <v>139</v>
      </c>
      <c r="H118" s="60"/>
      <c r="I118" s="60"/>
      <c r="J118" s="58" t="s">
        <v>465</v>
      </c>
      <c r="K118" s="58" t="s">
        <v>466</v>
      </c>
      <c r="L118" s="58" t="s">
        <v>288</v>
      </c>
      <c r="M118" s="60"/>
      <c r="N118" s="64"/>
      <c r="O118" s="60" t="s">
        <v>98</v>
      </c>
      <c r="P118" s="60" t="s">
        <v>227</v>
      </c>
      <c r="Q118" s="60" t="s">
        <v>82</v>
      </c>
      <c r="R118" s="60" t="s">
        <v>19</v>
      </c>
      <c r="S118" s="60"/>
      <c r="T118" s="60" t="s">
        <v>141</v>
      </c>
      <c r="U118" s="61" t="s">
        <v>61</v>
      </c>
    </row>
    <row r="119" spans="1:21" ht="27">
      <c r="A119" s="60" t="s">
        <v>512</v>
      </c>
      <c r="B119" s="60" t="s">
        <v>513</v>
      </c>
      <c r="C119" s="61" t="s">
        <v>49</v>
      </c>
      <c r="D119" s="61" t="s">
        <v>463</v>
      </c>
      <c r="E119" s="56" t="s">
        <v>21</v>
      </c>
      <c r="F119" s="57" t="s">
        <v>51</v>
      </c>
      <c r="G119" s="60" t="s">
        <v>144</v>
      </c>
      <c r="H119" s="60"/>
      <c r="I119" s="60"/>
      <c r="J119" s="58" t="s">
        <v>465</v>
      </c>
      <c r="K119" s="58" t="s">
        <v>466</v>
      </c>
      <c r="L119" s="58" t="s">
        <v>288</v>
      </c>
      <c r="M119" s="60"/>
      <c r="N119" s="64"/>
      <c r="O119" s="60" t="s">
        <v>103</v>
      </c>
      <c r="P119" s="60" t="s">
        <v>514</v>
      </c>
      <c r="Q119" s="60" t="s">
        <v>89</v>
      </c>
      <c r="R119" s="60" t="s">
        <v>19</v>
      </c>
      <c r="S119" s="60"/>
      <c r="T119" s="60" t="s">
        <v>60</v>
      </c>
      <c r="U119" s="61" t="s">
        <v>61</v>
      </c>
    </row>
    <row r="120" spans="1:21" ht="27">
      <c r="A120" s="60" t="s">
        <v>515</v>
      </c>
      <c r="B120" s="60" t="s">
        <v>147</v>
      </c>
      <c r="C120" s="61" t="s">
        <v>49</v>
      </c>
      <c r="D120" s="61" t="s">
        <v>463</v>
      </c>
      <c r="E120" s="56" t="s">
        <v>21</v>
      </c>
      <c r="F120" s="57" t="s">
        <v>51</v>
      </c>
      <c r="G120" s="60" t="s">
        <v>348</v>
      </c>
      <c r="H120" s="60"/>
      <c r="I120" s="60"/>
      <c r="J120" s="58" t="s">
        <v>465</v>
      </c>
      <c r="K120" s="58" t="s">
        <v>466</v>
      </c>
      <c r="L120" s="58" t="s">
        <v>288</v>
      </c>
      <c r="M120" s="60"/>
      <c r="N120" s="64"/>
      <c r="O120" s="60" t="s">
        <v>108</v>
      </c>
      <c r="P120" s="60" t="s">
        <v>149</v>
      </c>
      <c r="Q120" s="60" t="s">
        <v>89</v>
      </c>
      <c r="R120" s="60" t="s">
        <v>21</v>
      </c>
      <c r="S120" s="60"/>
      <c r="T120" s="60" t="s">
        <v>60</v>
      </c>
      <c r="U120" s="61" t="s">
        <v>61</v>
      </c>
    </row>
    <row r="121" spans="1:21" ht="27">
      <c r="A121" s="60" t="s">
        <v>516</v>
      </c>
      <c r="B121" s="60" t="s">
        <v>517</v>
      </c>
      <c r="C121" s="61" t="s">
        <v>49</v>
      </c>
      <c r="D121" s="61" t="s">
        <v>463</v>
      </c>
      <c r="E121" s="56" t="s">
        <v>21</v>
      </c>
      <c r="F121" s="57" t="s">
        <v>51</v>
      </c>
      <c r="G121" s="60" t="s">
        <v>518</v>
      </c>
      <c r="H121" s="60"/>
      <c r="I121" s="60"/>
      <c r="J121" s="58" t="s">
        <v>465</v>
      </c>
      <c r="K121" s="58" t="s">
        <v>466</v>
      </c>
      <c r="L121" s="58" t="s">
        <v>288</v>
      </c>
      <c r="M121" s="60"/>
      <c r="N121" s="64"/>
      <c r="O121" s="60" t="s">
        <v>153</v>
      </c>
      <c r="P121" s="60" t="s">
        <v>158</v>
      </c>
      <c r="Q121" s="60" t="s">
        <v>82</v>
      </c>
      <c r="R121" s="60" t="s">
        <v>21</v>
      </c>
      <c r="S121" s="60"/>
      <c r="T121" s="60" t="s">
        <v>60</v>
      </c>
      <c r="U121" s="61" t="s">
        <v>61</v>
      </c>
    </row>
    <row r="122" spans="1:21" ht="27">
      <c r="A122" s="60" t="s">
        <v>519</v>
      </c>
      <c r="B122" s="60" t="s">
        <v>156</v>
      </c>
      <c r="C122" s="61" t="s">
        <v>49</v>
      </c>
      <c r="D122" s="61" t="s">
        <v>463</v>
      </c>
      <c r="E122" s="56" t="s">
        <v>21</v>
      </c>
      <c r="F122" s="57" t="s">
        <v>51</v>
      </c>
      <c r="G122" s="60" t="s">
        <v>157</v>
      </c>
      <c r="H122" s="60"/>
      <c r="I122" s="60"/>
      <c r="J122" s="58" t="s">
        <v>465</v>
      </c>
      <c r="K122" s="58" t="s">
        <v>466</v>
      </c>
      <c r="L122" s="58" t="s">
        <v>288</v>
      </c>
      <c r="M122" s="60"/>
      <c r="N122" s="64"/>
      <c r="O122" s="60" t="s">
        <v>123</v>
      </c>
      <c r="P122" s="60" t="s">
        <v>158</v>
      </c>
      <c r="Q122" s="60" t="s">
        <v>82</v>
      </c>
      <c r="R122" s="60" t="s">
        <v>21</v>
      </c>
      <c r="S122" s="60"/>
      <c r="T122" s="60" t="s">
        <v>60</v>
      </c>
      <c r="U122" s="61" t="s">
        <v>61</v>
      </c>
    </row>
    <row r="123" spans="1:21" ht="27">
      <c r="A123" s="60" t="s">
        <v>520</v>
      </c>
      <c r="B123" s="60" t="s">
        <v>521</v>
      </c>
      <c r="C123" s="61" t="s">
        <v>49</v>
      </c>
      <c r="D123" s="61" t="s">
        <v>463</v>
      </c>
      <c r="E123" s="56" t="s">
        <v>21</v>
      </c>
      <c r="F123" s="57" t="s">
        <v>51</v>
      </c>
      <c r="G123" s="60" t="s">
        <v>522</v>
      </c>
      <c r="H123" s="60"/>
      <c r="I123" s="60"/>
      <c r="J123" s="58" t="s">
        <v>465</v>
      </c>
      <c r="K123" s="58" t="s">
        <v>466</v>
      </c>
      <c r="L123" s="58" t="s">
        <v>288</v>
      </c>
      <c r="M123" s="60"/>
      <c r="N123" s="64"/>
      <c r="O123" s="60" t="s">
        <v>117</v>
      </c>
      <c r="P123" s="60" t="s">
        <v>162</v>
      </c>
      <c r="Q123" s="60" t="s">
        <v>89</v>
      </c>
      <c r="R123" s="60" t="s">
        <v>21</v>
      </c>
      <c r="S123" s="60"/>
      <c r="T123" s="60" t="s">
        <v>60</v>
      </c>
      <c r="U123" s="61" t="s">
        <v>61</v>
      </c>
    </row>
    <row r="124" spans="1:21" ht="27">
      <c r="A124" s="60" t="s">
        <v>523</v>
      </c>
      <c r="B124" s="60" t="s">
        <v>524</v>
      </c>
      <c r="C124" s="61" t="s">
        <v>49</v>
      </c>
      <c r="D124" s="61" t="s">
        <v>463</v>
      </c>
      <c r="E124" s="56" t="s">
        <v>21</v>
      </c>
      <c r="F124" s="57" t="s">
        <v>51</v>
      </c>
      <c r="G124" s="60" t="s">
        <v>360</v>
      </c>
      <c r="H124" s="60"/>
      <c r="I124" s="60"/>
      <c r="J124" s="58" t="s">
        <v>465</v>
      </c>
      <c r="K124" s="58" t="s">
        <v>466</v>
      </c>
      <c r="L124" s="58" t="s">
        <v>288</v>
      </c>
      <c r="M124" s="60"/>
      <c r="N124" s="64"/>
      <c r="O124" s="60" t="s">
        <v>166</v>
      </c>
      <c r="P124" s="60" t="s">
        <v>167</v>
      </c>
      <c r="Q124" s="60" t="s">
        <v>82</v>
      </c>
      <c r="R124" s="60" t="s">
        <v>21</v>
      </c>
      <c r="S124" s="60"/>
      <c r="T124" s="60" t="s">
        <v>60</v>
      </c>
      <c r="U124" s="61" t="s">
        <v>61</v>
      </c>
    </row>
    <row r="125" spans="1:21" ht="27">
      <c r="A125" s="60" t="s">
        <v>525</v>
      </c>
      <c r="B125" s="60" t="s">
        <v>526</v>
      </c>
      <c r="C125" s="61" t="s">
        <v>49</v>
      </c>
      <c r="D125" s="61" t="s">
        <v>463</v>
      </c>
      <c r="E125" s="56" t="s">
        <v>21</v>
      </c>
      <c r="F125" s="57" t="s">
        <v>51</v>
      </c>
      <c r="G125" s="60" t="s">
        <v>527</v>
      </c>
      <c r="H125" s="60"/>
      <c r="I125" s="60"/>
      <c r="J125" s="58" t="s">
        <v>465</v>
      </c>
      <c r="K125" s="58" t="s">
        <v>466</v>
      </c>
      <c r="L125" s="58" t="s">
        <v>288</v>
      </c>
      <c r="M125" s="60"/>
      <c r="N125" s="64"/>
      <c r="O125" s="60" t="s">
        <v>57</v>
      </c>
      <c r="P125" s="60" t="s">
        <v>528</v>
      </c>
      <c r="Q125" s="60" t="s">
        <v>82</v>
      </c>
      <c r="R125" s="60" t="s">
        <v>21</v>
      </c>
      <c r="S125" s="60"/>
      <c r="T125" s="60" t="s">
        <v>60</v>
      </c>
      <c r="U125" s="61" t="s">
        <v>61</v>
      </c>
    </row>
    <row r="126" spans="1:21" ht="27">
      <c r="A126" s="60" t="s">
        <v>529</v>
      </c>
      <c r="B126" s="60" t="s">
        <v>530</v>
      </c>
      <c r="C126" s="61" t="s">
        <v>49</v>
      </c>
      <c r="D126" s="61" t="s">
        <v>463</v>
      </c>
      <c r="E126" s="56" t="s">
        <v>21</v>
      </c>
      <c r="F126" s="57" t="s">
        <v>51</v>
      </c>
      <c r="G126" s="60" t="s">
        <v>531</v>
      </c>
      <c r="H126" s="60"/>
      <c r="I126" s="60"/>
      <c r="J126" s="58" t="s">
        <v>465</v>
      </c>
      <c r="K126" s="58" t="s">
        <v>466</v>
      </c>
      <c r="L126" s="58" t="s">
        <v>288</v>
      </c>
      <c r="M126" s="60"/>
      <c r="N126" s="64"/>
      <c r="O126" s="60" t="s">
        <v>87</v>
      </c>
      <c r="P126" s="60" t="s">
        <v>532</v>
      </c>
      <c r="Q126" s="60" t="s">
        <v>82</v>
      </c>
      <c r="R126" s="60" t="s">
        <v>19</v>
      </c>
      <c r="S126" s="60" t="s">
        <v>533</v>
      </c>
      <c r="T126" s="60" t="s">
        <v>83</v>
      </c>
      <c r="U126" s="61" t="s">
        <v>61</v>
      </c>
    </row>
    <row r="127" spans="1:21" ht="27">
      <c r="A127" s="60" t="s">
        <v>534</v>
      </c>
      <c r="B127" s="60" t="s">
        <v>535</v>
      </c>
      <c r="C127" s="61" t="s">
        <v>49</v>
      </c>
      <c r="D127" s="61" t="s">
        <v>463</v>
      </c>
      <c r="E127" s="56" t="s">
        <v>21</v>
      </c>
      <c r="F127" s="57" t="s">
        <v>51</v>
      </c>
      <c r="G127" s="60" t="s">
        <v>170</v>
      </c>
      <c r="H127" s="60"/>
      <c r="I127" s="60"/>
      <c r="J127" s="58" t="s">
        <v>465</v>
      </c>
      <c r="K127" s="58" t="s">
        <v>466</v>
      </c>
      <c r="L127" s="58" t="s">
        <v>288</v>
      </c>
      <c r="M127" s="60"/>
      <c r="N127" s="64"/>
      <c r="O127" s="60" t="s">
        <v>93</v>
      </c>
      <c r="P127" s="60" t="s">
        <v>536</v>
      </c>
      <c r="Q127" s="60" t="s">
        <v>82</v>
      </c>
      <c r="R127" s="60" t="s">
        <v>21</v>
      </c>
      <c r="S127" s="60" t="s">
        <v>533</v>
      </c>
      <c r="T127" s="60" t="s">
        <v>83</v>
      </c>
      <c r="U127" s="61" t="s">
        <v>61</v>
      </c>
    </row>
    <row r="128" spans="1:21" ht="27">
      <c r="A128" s="60" t="s">
        <v>537</v>
      </c>
      <c r="B128" s="60" t="s">
        <v>538</v>
      </c>
      <c r="C128" s="61" t="s">
        <v>49</v>
      </c>
      <c r="D128" s="61" t="s">
        <v>463</v>
      </c>
      <c r="E128" s="56" t="s">
        <v>21</v>
      </c>
      <c r="F128" s="57" t="s">
        <v>51</v>
      </c>
      <c r="G128" s="60" t="s">
        <v>539</v>
      </c>
      <c r="H128" s="60"/>
      <c r="I128" s="60"/>
      <c r="J128" s="58" t="s">
        <v>465</v>
      </c>
      <c r="K128" s="58" t="s">
        <v>466</v>
      </c>
      <c r="L128" s="58" t="s">
        <v>288</v>
      </c>
      <c r="M128" s="60"/>
      <c r="N128" s="64"/>
      <c r="O128" s="60" t="s">
        <v>98</v>
      </c>
      <c r="P128" s="60" t="s">
        <v>185</v>
      </c>
      <c r="Q128" s="60" t="s">
        <v>82</v>
      </c>
      <c r="R128" s="60" t="s">
        <v>21</v>
      </c>
      <c r="S128" s="60" t="s">
        <v>533</v>
      </c>
      <c r="T128" s="60" t="s">
        <v>83</v>
      </c>
      <c r="U128" s="61" t="s">
        <v>61</v>
      </c>
    </row>
    <row r="129" spans="1:21" ht="27">
      <c r="A129" s="60" t="s">
        <v>540</v>
      </c>
      <c r="B129" s="60" t="s">
        <v>541</v>
      </c>
      <c r="C129" s="61" t="s">
        <v>49</v>
      </c>
      <c r="D129" s="61" t="s">
        <v>463</v>
      </c>
      <c r="E129" s="56" t="s">
        <v>21</v>
      </c>
      <c r="F129" s="57" t="s">
        <v>51</v>
      </c>
      <c r="G129" s="60" t="s">
        <v>542</v>
      </c>
      <c r="H129" s="60"/>
      <c r="I129" s="60"/>
      <c r="J129" s="58" t="s">
        <v>465</v>
      </c>
      <c r="K129" s="58" t="s">
        <v>466</v>
      </c>
      <c r="L129" s="58" t="s">
        <v>288</v>
      </c>
      <c r="M129" s="60"/>
      <c r="N129" s="64"/>
      <c r="O129" s="60" t="s">
        <v>103</v>
      </c>
      <c r="P129" s="60" t="s">
        <v>532</v>
      </c>
      <c r="Q129" s="60" t="s">
        <v>82</v>
      </c>
      <c r="R129" s="60" t="s">
        <v>19</v>
      </c>
      <c r="S129" s="60" t="s">
        <v>533</v>
      </c>
      <c r="T129" s="60" t="s">
        <v>83</v>
      </c>
      <c r="U129" s="61" t="s">
        <v>61</v>
      </c>
    </row>
    <row r="130" spans="1:21" ht="27">
      <c r="A130" s="60" t="s">
        <v>543</v>
      </c>
      <c r="B130" s="60" t="s">
        <v>544</v>
      </c>
      <c r="C130" s="61" t="s">
        <v>49</v>
      </c>
      <c r="D130" s="61" t="s">
        <v>463</v>
      </c>
      <c r="E130" s="56" t="s">
        <v>21</v>
      </c>
      <c r="F130" s="57" t="s">
        <v>51</v>
      </c>
      <c r="G130" s="60" t="s">
        <v>192</v>
      </c>
      <c r="H130" s="60"/>
      <c r="I130" s="60"/>
      <c r="J130" s="58" t="s">
        <v>465</v>
      </c>
      <c r="K130" s="58" t="s">
        <v>466</v>
      </c>
      <c r="L130" s="58" t="s">
        <v>288</v>
      </c>
      <c r="M130" s="60"/>
      <c r="N130" s="64"/>
      <c r="O130" s="60" t="s">
        <v>108</v>
      </c>
      <c r="P130" s="60" t="s">
        <v>545</v>
      </c>
      <c r="Q130" s="60" t="s">
        <v>82</v>
      </c>
      <c r="R130" s="60" t="s">
        <v>21</v>
      </c>
      <c r="S130" s="60" t="s">
        <v>546</v>
      </c>
      <c r="T130" s="60" t="s">
        <v>83</v>
      </c>
      <c r="U130" s="61" t="s">
        <v>61</v>
      </c>
    </row>
    <row r="131" spans="1:21" ht="27">
      <c r="A131" s="60" t="s">
        <v>547</v>
      </c>
      <c r="B131" s="60" t="s">
        <v>548</v>
      </c>
      <c r="C131" s="61" t="s">
        <v>49</v>
      </c>
      <c r="D131" s="61" t="s">
        <v>463</v>
      </c>
      <c r="E131" s="56" t="s">
        <v>21</v>
      </c>
      <c r="F131" s="57" t="s">
        <v>51</v>
      </c>
      <c r="G131" s="60" t="s">
        <v>549</v>
      </c>
      <c r="H131" s="60"/>
      <c r="I131" s="60"/>
      <c r="J131" s="58" t="s">
        <v>465</v>
      </c>
      <c r="K131" s="58" t="s">
        <v>466</v>
      </c>
      <c r="L131" s="58" t="s">
        <v>288</v>
      </c>
      <c r="M131" s="60"/>
      <c r="N131" s="64"/>
      <c r="O131" s="60" t="s">
        <v>153</v>
      </c>
      <c r="P131" s="60" t="s">
        <v>185</v>
      </c>
      <c r="Q131" s="60" t="s">
        <v>82</v>
      </c>
      <c r="R131" s="60" t="s">
        <v>19</v>
      </c>
      <c r="S131" s="60" t="s">
        <v>533</v>
      </c>
      <c r="T131" s="60" t="s">
        <v>83</v>
      </c>
      <c r="U131" s="61" t="s">
        <v>61</v>
      </c>
    </row>
    <row r="132" spans="1:21" ht="27">
      <c r="A132" s="60" t="s">
        <v>550</v>
      </c>
      <c r="B132" s="60" t="s">
        <v>551</v>
      </c>
      <c r="C132" s="61" t="s">
        <v>49</v>
      </c>
      <c r="D132" s="61" t="s">
        <v>463</v>
      </c>
      <c r="E132" s="56" t="s">
        <v>21</v>
      </c>
      <c r="F132" s="57" t="s">
        <v>51</v>
      </c>
      <c r="G132" s="60" t="s">
        <v>552</v>
      </c>
      <c r="H132" s="60"/>
      <c r="I132" s="60"/>
      <c r="J132" s="58" t="s">
        <v>465</v>
      </c>
      <c r="K132" s="58" t="s">
        <v>466</v>
      </c>
      <c r="L132" s="58" t="s">
        <v>288</v>
      </c>
      <c r="M132" s="60"/>
      <c r="N132" s="64"/>
      <c r="O132" s="60" t="s">
        <v>166</v>
      </c>
      <c r="P132" s="60" t="s">
        <v>553</v>
      </c>
      <c r="Q132" s="60" t="s">
        <v>82</v>
      </c>
      <c r="R132" s="60" t="s">
        <v>19</v>
      </c>
      <c r="S132" s="60" t="s">
        <v>546</v>
      </c>
      <c r="T132" s="60" t="s">
        <v>83</v>
      </c>
      <c r="U132" s="61" t="s">
        <v>61</v>
      </c>
    </row>
    <row r="133" spans="1:21" ht="27">
      <c r="A133" s="60" t="s">
        <v>554</v>
      </c>
      <c r="B133" s="60" t="s">
        <v>555</v>
      </c>
      <c r="C133" s="61" t="s">
        <v>49</v>
      </c>
      <c r="D133" s="61" t="s">
        <v>463</v>
      </c>
      <c r="E133" s="56" t="s">
        <v>21</v>
      </c>
      <c r="F133" s="57" t="s">
        <v>51</v>
      </c>
      <c r="G133" s="60" t="s">
        <v>556</v>
      </c>
      <c r="H133" s="60"/>
      <c r="I133" s="60"/>
      <c r="J133" s="58" t="s">
        <v>465</v>
      </c>
      <c r="K133" s="58" t="s">
        <v>466</v>
      </c>
      <c r="L133" s="58" t="s">
        <v>288</v>
      </c>
      <c r="M133" s="60"/>
      <c r="N133" s="64"/>
      <c r="O133" s="60" t="s">
        <v>117</v>
      </c>
      <c r="P133" s="60" t="s">
        <v>557</v>
      </c>
      <c r="Q133" s="60" t="s">
        <v>82</v>
      </c>
      <c r="R133" s="60" t="s">
        <v>21</v>
      </c>
      <c r="S133" s="60"/>
      <c r="T133" s="60" t="s">
        <v>83</v>
      </c>
      <c r="U133" s="61" t="s">
        <v>61</v>
      </c>
    </row>
    <row r="134" spans="1:21">
      <c r="A134" s="60" t="s">
        <v>558</v>
      </c>
      <c r="B134" s="60" t="s">
        <v>559</v>
      </c>
      <c r="C134" s="61" t="s">
        <v>49</v>
      </c>
      <c r="D134" s="61" t="s">
        <v>463</v>
      </c>
      <c r="E134" s="56" t="s">
        <v>21</v>
      </c>
      <c r="F134" s="57" t="s">
        <v>51</v>
      </c>
      <c r="G134" s="60" t="s">
        <v>560</v>
      </c>
      <c r="H134" s="60"/>
      <c r="I134" s="60"/>
      <c r="J134" s="58" t="s">
        <v>465</v>
      </c>
      <c r="K134" s="58" t="s">
        <v>466</v>
      </c>
      <c r="L134" s="58" t="s">
        <v>288</v>
      </c>
      <c r="M134" s="60"/>
      <c r="N134" s="64"/>
      <c r="O134" s="60" t="s">
        <v>232</v>
      </c>
      <c r="P134" s="60" t="s">
        <v>528</v>
      </c>
      <c r="Q134" s="60" t="s">
        <v>89</v>
      </c>
      <c r="R134" s="60" t="s">
        <v>21</v>
      </c>
      <c r="S134" s="60"/>
      <c r="T134" s="60" t="s">
        <v>60</v>
      </c>
      <c r="U134" s="61" t="s">
        <v>61</v>
      </c>
    </row>
    <row r="135" spans="1:21" ht="27">
      <c r="A135" s="60" t="s">
        <v>561</v>
      </c>
      <c r="B135" s="60" t="s">
        <v>562</v>
      </c>
      <c r="C135" s="61" t="s">
        <v>49</v>
      </c>
      <c r="D135" s="61" t="s">
        <v>463</v>
      </c>
      <c r="E135" s="56" t="s">
        <v>21</v>
      </c>
      <c r="F135" s="57" t="s">
        <v>51</v>
      </c>
      <c r="G135" s="60" t="s">
        <v>211</v>
      </c>
      <c r="H135" s="60"/>
      <c r="I135" s="60"/>
      <c r="J135" s="58" t="s">
        <v>465</v>
      </c>
      <c r="K135" s="58" t="s">
        <v>466</v>
      </c>
      <c r="L135" s="58" t="s">
        <v>288</v>
      </c>
      <c r="M135" s="60"/>
      <c r="N135" s="64"/>
      <c r="O135" s="60" t="s">
        <v>57</v>
      </c>
      <c r="P135" s="60" t="s">
        <v>212</v>
      </c>
      <c r="Q135" s="60" t="s">
        <v>82</v>
      </c>
      <c r="R135" s="60" t="s">
        <v>19</v>
      </c>
      <c r="S135" s="60"/>
      <c r="T135" s="60" t="s">
        <v>141</v>
      </c>
      <c r="U135" s="61" t="s">
        <v>61</v>
      </c>
    </row>
    <row r="136" spans="1:21" ht="27">
      <c r="A136" s="60" t="s">
        <v>563</v>
      </c>
      <c r="B136" s="60" t="s">
        <v>564</v>
      </c>
      <c r="C136" s="61" t="s">
        <v>49</v>
      </c>
      <c r="D136" s="61" t="s">
        <v>463</v>
      </c>
      <c r="E136" s="56" t="s">
        <v>21</v>
      </c>
      <c r="F136" s="57" t="s">
        <v>51</v>
      </c>
      <c r="G136" s="60" t="s">
        <v>406</v>
      </c>
      <c r="H136" s="60"/>
      <c r="I136" s="60"/>
      <c r="J136" s="58" t="s">
        <v>465</v>
      </c>
      <c r="K136" s="58" t="s">
        <v>466</v>
      </c>
      <c r="L136" s="58" t="s">
        <v>288</v>
      </c>
      <c r="M136" s="60"/>
      <c r="N136" s="64"/>
      <c r="O136" s="60" t="s">
        <v>87</v>
      </c>
      <c r="P136" s="60" t="s">
        <v>565</v>
      </c>
      <c r="Q136" s="60" t="s">
        <v>82</v>
      </c>
      <c r="R136" s="60" t="s">
        <v>21</v>
      </c>
      <c r="S136" s="60"/>
      <c r="T136" s="60" t="s">
        <v>141</v>
      </c>
      <c r="U136" s="61" t="s">
        <v>61</v>
      </c>
    </row>
    <row r="137" spans="1:21" ht="27">
      <c r="A137" s="60" t="s">
        <v>566</v>
      </c>
      <c r="B137" s="60" t="s">
        <v>415</v>
      </c>
      <c r="C137" s="61" t="s">
        <v>49</v>
      </c>
      <c r="D137" s="61" t="s">
        <v>463</v>
      </c>
      <c r="E137" s="56" t="s">
        <v>21</v>
      </c>
      <c r="F137" s="57" t="s">
        <v>51</v>
      </c>
      <c r="G137" s="60" t="s">
        <v>219</v>
      </c>
      <c r="H137" s="60"/>
      <c r="I137" s="60"/>
      <c r="J137" s="58" t="s">
        <v>465</v>
      </c>
      <c r="K137" s="58" t="s">
        <v>466</v>
      </c>
      <c r="L137" s="58" t="s">
        <v>288</v>
      </c>
      <c r="M137" s="60"/>
      <c r="N137" s="64"/>
      <c r="O137" s="60" t="s">
        <v>103</v>
      </c>
      <c r="P137" s="60" t="s">
        <v>220</v>
      </c>
      <c r="Q137" s="60" t="s">
        <v>82</v>
      </c>
      <c r="R137" s="60" t="s">
        <v>21</v>
      </c>
      <c r="S137" s="60"/>
      <c r="T137" s="60" t="s">
        <v>141</v>
      </c>
      <c r="U137" s="61" t="s">
        <v>61</v>
      </c>
    </row>
    <row r="138" spans="1:21" ht="27">
      <c r="A138" s="60" t="s">
        <v>567</v>
      </c>
      <c r="B138" s="60" t="s">
        <v>568</v>
      </c>
      <c r="C138" s="61" t="s">
        <v>49</v>
      </c>
      <c r="D138" s="61" t="s">
        <v>463</v>
      </c>
      <c r="E138" s="56" t="s">
        <v>21</v>
      </c>
      <c r="F138" s="57" t="s">
        <v>51</v>
      </c>
      <c r="G138" s="60" t="s">
        <v>413</v>
      </c>
      <c r="H138" s="60"/>
      <c r="I138" s="60"/>
      <c r="J138" s="58" t="s">
        <v>465</v>
      </c>
      <c r="K138" s="58" t="s">
        <v>466</v>
      </c>
      <c r="L138" s="58" t="s">
        <v>288</v>
      </c>
      <c r="M138" s="60"/>
      <c r="N138" s="64"/>
      <c r="O138" s="60" t="s">
        <v>232</v>
      </c>
      <c r="P138" s="60" t="s">
        <v>224</v>
      </c>
      <c r="Q138" s="60" t="s">
        <v>82</v>
      </c>
      <c r="R138" s="60" t="s">
        <v>21</v>
      </c>
      <c r="S138" s="60"/>
      <c r="T138" s="60" t="s">
        <v>141</v>
      </c>
      <c r="U138" s="61" t="s">
        <v>61</v>
      </c>
    </row>
    <row r="139" spans="1:21" ht="27">
      <c r="A139" s="60" t="s">
        <v>569</v>
      </c>
      <c r="B139" s="60" t="s">
        <v>570</v>
      </c>
      <c r="C139" s="61" t="s">
        <v>49</v>
      </c>
      <c r="D139" s="61" t="s">
        <v>463</v>
      </c>
      <c r="E139" s="56" t="s">
        <v>21</v>
      </c>
      <c r="F139" s="57" t="s">
        <v>51</v>
      </c>
      <c r="G139" s="60" t="s">
        <v>139</v>
      </c>
      <c r="H139" s="60"/>
      <c r="I139" s="60"/>
      <c r="J139" s="58" t="s">
        <v>465</v>
      </c>
      <c r="K139" s="58" t="s">
        <v>466</v>
      </c>
      <c r="L139" s="58" t="s">
        <v>288</v>
      </c>
      <c r="M139" s="60"/>
      <c r="N139" s="64"/>
      <c r="O139" s="60" t="s">
        <v>93</v>
      </c>
      <c r="P139" s="60" t="s">
        <v>227</v>
      </c>
      <c r="Q139" s="60" t="s">
        <v>82</v>
      </c>
      <c r="R139" s="60" t="s">
        <v>19</v>
      </c>
      <c r="S139" s="60"/>
      <c r="T139" s="60" t="s">
        <v>228</v>
      </c>
      <c r="U139" s="61" t="s">
        <v>61</v>
      </c>
    </row>
    <row r="140" spans="1:21">
      <c r="A140" s="60" t="s">
        <v>571</v>
      </c>
      <c r="B140" s="60" t="s">
        <v>572</v>
      </c>
      <c r="C140" s="61" t="s">
        <v>49</v>
      </c>
      <c r="D140" s="61" t="s">
        <v>463</v>
      </c>
      <c r="E140" s="56" t="s">
        <v>21</v>
      </c>
      <c r="F140" s="57" t="s">
        <v>51</v>
      </c>
      <c r="G140" s="60" t="s">
        <v>573</v>
      </c>
      <c r="H140" s="60"/>
      <c r="I140" s="60"/>
      <c r="J140" s="58" t="s">
        <v>465</v>
      </c>
      <c r="K140" s="58" t="s">
        <v>466</v>
      </c>
      <c r="L140" s="58" t="s">
        <v>288</v>
      </c>
      <c r="M140" s="60"/>
      <c r="N140" s="64"/>
      <c r="O140" s="60" t="s">
        <v>232</v>
      </c>
      <c r="P140" s="60" t="s">
        <v>233</v>
      </c>
      <c r="Q140" s="60" t="s">
        <v>89</v>
      </c>
      <c r="R140" s="60" t="s">
        <v>21</v>
      </c>
      <c r="S140" s="60"/>
      <c r="T140" s="60" t="s">
        <v>141</v>
      </c>
      <c r="U140" s="61" t="s">
        <v>61</v>
      </c>
    </row>
    <row r="141" spans="1:21">
      <c r="A141" s="60" t="s">
        <v>574</v>
      </c>
      <c r="B141" s="60" t="s">
        <v>420</v>
      </c>
      <c r="C141" s="61" t="s">
        <v>49</v>
      </c>
      <c r="D141" s="61" t="s">
        <v>463</v>
      </c>
      <c r="E141" s="56" t="s">
        <v>21</v>
      </c>
      <c r="F141" s="57" t="s">
        <v>51</v>
      </c>
      <c r="G141" s="60" t="s">
        <v>236</v>
      </c>
      <c r="H141" s="60"/>
      <c r="I141" s="60"/>
      <c r="J141" s="58" t="s">
        <v>465</v>
      </c>
      <c r="K141" s="58" t="s">
        <v>466</v>
      </c>
      <c r="L141" s="58" t="s">
        <v>288</v>
      </c>
      <c r="M141" s="60"/>
      <c r="N141" s="64"/>
      <c r="O141" s="60" t="s">
        <v>237</v>
      </c>
      <c r="P141" s="60" t="s">
        <v>575</v>
      </c>
      <c r="Q141" s="60" t="s">
        <v>82</v>
      </c>
      <c r="R141" s="60" t="s">
        <v>19</v>
      </c>
      <c r="S141" s="60"/>
      <c r="T141" s="60" t="s">
        <v>228</v>
      </c>
      <c r="U141" s="61" t="s">
        <v>61</v>
      </c>
    </row>
    <row r="142" spans="1:21" ht="27">
      <c r="A142" s="60" t="s">
        <v>576</v>
      </c>
      <c r="B142" s="60" t="s">
        <v>577</v>
      </c>
      <c r="C142" s="61" t="s">
        <v>49</v>
      </c>
      <c r="D142" s="61" t="s">
        <v>463</v>
      </c>
      <c r="E142" s="56" t="s">
        <v>21</v>
      </c>
      <c r="F142" s="57" t="s">
        <v>51</v>
      </c>
      <c r="G142" s="60" t="s">
        <v>424</v>
      </c>
      <c r="H142" s="60"/>
      <c r="I142" s="60"/>
      <c r="J142" s="58" t="s">
        <v>465</v>
      </c>
      <c r="K142" s="58" t="s">
        <v>466</v>
      </c>
      <c r="L142" s="58" t="s">
        <v>288</v>
      </c>
      <c r="M142" s="60"/>
      <c r="N142" s="64"/>
      <c r="O142" s="60" t="s">
        <v>166</v>
      </c>
      <c r="P142" s="60" t="s">
        <v>578</v>
      </c>
      <c r="Q142" s="60" t="s">
        <v>82</v>
      </c>
      <c r="R142" s="60" t="s">
        <v>19</v>
      </c>
      <c r="S142" s="60"/>
      <c r="T142" s="60" t="s">
        <v>228</v>
      </c>
      <c r="U142" s="61" t="s">
        <v>61</v>
      </c>
    </row>
    <row r="143" spans="1:21" ht="27">
      <c r="A143" s="60" t="s">
        <v>579</v>
      </c>
      <c r="B143" s="60" t="s">
        <v>580</v>
      </c>
      <c r="C143" s="61" t="s">
        <v>49</v>
      </c>
      <c r="D143" s="61" t="s">
        <v>463</v>
      </c>
      <c r="E143" s="56" t="s">
        <v>21</v>
      </c>
      <c r="F143" s="57" t="s">
        <v>51</v>
      </c>
      <c r="G143" s="60" t="s">
        <v>581</v>
      </c>
      <c r="H143" s="60"/>
      <c r="I143" s="60"/>
      <c r="J143" s="58" t="s">
        <v>465</v>
      </c>
      <c r="K143" s="58" t="s">
        <v>466</v>
      </c>
      <c r="L143" s="58" t="s">
        <v>288</v>
      </c>
      <c r="M143" s="60"/>
      <c r="N143" s="64"/>
      <c r="O143" s="60" t="s">
        <v>98</v>
      </c>
      <c r="P143" s="60" t="s">
        <v>246</v>
      </c>
      <c r="Q143" s="60" t="s">
        <v>89</v>
      </c>
      <c r="R143" s="60" t="s">
        <v>19</v>
      </c>
      <c r="S143" s="60"/>
      <c r="T143" s="60" t="s">
        <v>119</v>
      </c>
      <c r="U143" s="61" t="s">
        <v>61</v>
      </c>
    </row>
    <row r="144" spans="1:21">
      <c r="A144" s="60" t="s">
        <v>582</v>
      </c>
      <c r="B144" s="60" t="s">
        <v>583</v>
      </c>
      <c r="C144" s="61" t="s">
        <v>49</v>
      </c>
      <c r="D144" s="61" t="s">
        <v>463</v>
      </c>
      <c r="E144" s="56" t="s">
        <v>21</v>
      </c>
      <c r="F144" s="57" t="s">
        <v>51</v>
      </c>
      <c r="G144" s="60" t="s">
        <v>584</v>
      </c>
      <c r="H144" s="60"/>
      <c r="I144" s="60"/>
      <c r="J144" s="58" t="s">
        <v>465</v>
      </c>
      <c r="K144" s="58" t="s">
        <v>466</v>
      </c>
      <c r="L144" s="58" t="s">
        <v>288</v>
      </c>
      <c r="M144" s="60"/>
      <c r="N144" s="64"/>
      <c r="O144" s="60" t="s">
        <v>153</v>
      </c>
      <c r="P144" s="60" t="s">
        <v>431</v>
      </c>
      <c r="Q144" s="60" t="s">
        <v>82</v>
      </c>
      <c r="R144" s="60" t="s">
        <v>19</v>
      </c>
      <c r="S144" s="60"/>
      <c r="T144" s="60" t="s">
        <v>119</v>
      </c>
      <c r="U144" s="61" t="s">
        <v>61</v>
      </c>
    </row>
    <row r="145" spans="1:21" ht="27">
      <c r="A145" s="60" t="s">
        <v>585</v>
      </c>
      <c r="B145" s="60" t="s">
        <v>586</v>
      </c>
      <c r="C145" s="61" t="s">
        <v>49</v>
      </c>
      <c r="D145" s="61" t="s">
        <v>463</v>
      </c>
      <c r="E145" s="56" t="s">
        <v>21</v>
      </c>
      <c r="F145" s="57" t="s">
        <v>51</v>
      </c>
      <c r="G145" s="60" t="s">
        <v>587</v>
      </c>
      <c r="H145" s="60"/>
      <c r="I145" s="60"/>
      <c r="J145" s="58" t="s">
        <v>465</v>
      </c>
      <c r="K145" s="58" t="s">
        <v>466</v>
      </c>
      <c r="L145" s="58" t="s">
        <v>288</v>
      </c>
      <c r="M145" s="60"/>
      <c r="N145" s="64"/>
      <c r="O145" s="60" t="s">
        <v>113</v>
      </c>
      <c r="P145" s="60" t="s">
        <v>254</v>
      </c>
      <c r="Q145" s="60" t="s">
        <v>82</v>
      </c>
      <c r="R145" s="60" t="s">
        <v>19</v>
      </c>
      <c r="S145" s="60"/>
      <c r="T145" s="60" t="s">
        <v>141</v>
      </c>
      <c r="U145" s="61" t="s">
        <v>61</v>
      </c>
    </row>
    <row r="146" spans="1:21" ht="27">
      <c r="A146" s="60" t="s">
        <v>588</v>
      </c>
      <c r="B146" s="60" t="s">
        <v>589</v>
      </c>
      <c r="C146" s="61" t="s">
        <v>49</v>
      </c>
      <c r="D146" s="61" t="s">
        <v>463</v>
      </c>
      <c r="E146" s="56" t="s">
        <v>21</v>
      </c>
      <c r="F146" s="57" t="s">
        <v>51</v>
      </c>
      <c r="G146" s="60" t="s">
        <v>590</v>
      </c>
      <c r="H146" s="60"/>
      <c r="I146" s="60"/>
      <c r="J146" s="58" t="s">
        <v>465</v>
      </c>
      <c r="K146" s="58" t="s">
        <v>466</v>
      </c>
      <c r="L146" s="58" t="s">
        <v>288</v>
      </c>
      <c r="M146" s="60"/>
      <c r="N146" s="64"/>
      <c r="O146" s="60" t="s">
        <v>57</v>
      </c>
      <c r="P146" s="60" t="s">
        <v>591</v>
      </c>
      <c r="Q146" s="60" t="s">
        <v>82</v>
      </c>
      <c r="R146" s="60" t="s">
        <v>19</v>
      </c>
      <c r="S146" s="60"/>
      <c r="T146" s="60" t="s">
        <v>119</v>
      </c>
      <c r="U146" s="61" t="s">
        <v>61</v>
      </c>
    </row>
    <row r="147" spans="1:21" ht="27">
      <c r="A147" s="60" t="s">
        <v>592</v>
      </c>
      <c r="B147" s="60" t="s">
        <v>593</v>
      </c>
      <c r="C147" s="61" t="s">
        <v>49</v>
      </c>
      <c r="D147" s="61" t="s">
        <v>463</v>
      </c>
      <c r="E147" s="56" t="s">
        <v>21</v>
      </c>
      <c r="F147" s="57" t="s">
        <v>51</v>
      </c>
      <c r="G147" s="60" t="s">
        <v>594</v>
      </c>
      <c r="H147" s="60"/>
      <c r="I147" s="60"/>
      <c r="J147" s="58" t="s">
        <v>465</v>
      </c>
      <c r="K147" s="58" t="s">
        <v>466</v>
      </c>
      <c r="L147" s="58" t="s">
        <v>288</v>
      </c>
      <c r="M147" s="60"/>
      <c r="N147" s="64"/>
      <c r="O147" s="60" t="s">
        <v>103</v>
      </c>
      <c r="P147" s="60" t="s">
        <v>262</v>
      </c>
      <c r="Q147" s="60" t="s">
        <v>82</v>
      </c>
      <c r="R147" s="60" t="s">
        <v>19</v>
      </c>
      <c r="S147" s="60"/>
      <c r="T147" s="60" t="s">
        <v>119</v>
      </c>
      <c r="U147" s="61" t="s">
        <v>61</v>
      </c>
    </row>
    <row r="148" spans="1:21" ht="27">
      <c r="A148" s="60" t="s">
        <v>595</v>
      </c>
      <c r="B148" s="60" t="s">
        <v>596</v>
      </c>
      <c r="C148" s="61" t="s">
        <v>49</v>
      </c>
      <c r="D148" s="61" t="s">
        <v>463</v>
      </c>
      <c r="E148" s="56" t="s">
        <v>21</v>
      </c>
      <c r="F148" s="57" t="s">
        <v>51</v>
      </c>
      <c r="G148" s="60" t="s">
        <v>265</v>
      </c>
      <c r="H148" s="60"/>
      <c r="I148" s="60"/>
      <c r="J148" s="58" t="s">
        <v>465</v>
      </c>
      <c r="K148" s="58" t="s">
        <v>466</v>
      </c>
      <c r="L148" s="58" t="s">
        <v>288</v>
      </c>
      <c r="M148" s="60"/>
      <c r="N148" s="64"/>
      <c r="O148" s="60" t="s">
        <v>166</v>
      </c>
      <c r="P148" s="60" t="s">
        <v>266</v>
      </c>
      <c r="Q148" s="60" t="s">
        <v>82</v>
      </c>
      <c r="R148" s="60" t="s">
        <v>21</v>
      </c>
      <c r="S148" s="60"/>
      <c r="T148" s="60" t="s">
        <v>119</v>
      </c>
      <c r="U148" s="61" t="s">
        <v>61</v>
      </c>
    </row>
    <row r="149" spans="1:21">
      <c r="A149" s="60" t="s">
        <v>597</v>
      </c>
      <c r="B149" s="60" t="s">
        <v>598</v>
      </c>
      <c r="C149" s="61" t="s">
        <v>49</v>
      </c>
      <c r="D149" s="61" t="s">
        <v>463</v>
      </c>
      <c r="E149" s="56" t="s">
        <v>21</v>
      </c>
      <c r="F149" s="57" t="s">
        <v>51</v>
      </c>
      <c r="G149" s="60" t="s">
        <v>269</v>
      </c>
      <c r="H149" s="60"/>
      <c r="I149" s="60"/>
      <c r="J149" s="58" t="s">
        <v>465</v>
      </c>
      <c r="K149" s="58" t="s">
        <v>466</v>
      </c>
      <c r="L149" s="58" t="s">
        <v>288</v>
      </c>
      <c r="M149" s="60"/>
      <c r="N149" s="64"/>
      <c r="O149" s="60" t="s">
        <v>117</v>
      </c>
      <c r="P149" s="60" t="s">
        <v>158</v>
      </c>
      <c r="Q149" s="60" t="s">
        <v>59</v>
      </c>
      <c r="R149" s="60" t="s">
        <v>21</v>
      </c>
      <c r="S149" s="60"/>
      <c r="T149" s="60" t="s">
        <v>60</v>
      </c>
      <c r="U149" s="61" t="s">
        <v>61</v>
      </c>
    </row>
    <row r="150" spans="1:21" ht="27">
      <c r="A150" s="60" t="s">
        <v>599</v>
      </c>
      <c r="B150" s="60" t="s">
        <v>600</v>
      </c>
      <c r="C150" s="61" t="s">
        <v>49</v>
      </c>
      <c r="D150" s="61" t="s">
        <v>463</v>
      </c>
      <c r="E150" s="56" t="s">
        <v>21</v>
      </c>
      <c r="F150" s="57" t="s">
        <v>51</v>
      </c>
      <c r="G150" s="60" t="s">
        <v>601</v>
      </c>
      <c r="H150" s="60"/>
      <c r="I150" s="60"/>
      <c r="J150" s="58" t="s">
        <v>465</v>
      </c>
      <c r="K150" s="58" t="s">
        <v>466</v>
      </c>
      <c r="L150" s="58" t="s">
        <v>288</v>
      </c>
      <c r="M150" s="60"/>
      <c r="N150" s="64"/>
      <c r="O150" s="60" t="s">
        <v>123</v>
      </c>
      <c r="P150" s="60" t="s">
        <v>273</v>
      </c>
      <c r="Q150" s="60" t="s">
        <v>82</v>
      </c>
      <c r="R150" s="60" t="s">
        <v>19</v>
      </c>
      <c r="S150" s="60"/>
      <c r="T150" s="60" t="s">
        <v>141</v>
      </c>
      <c r="U150" s="61" t="s">
        <v>61</v>
      </c>
    </row>
    <row r="151" spans="1:21" ht="27">
      <c r="A151" s="60" t="s">
        <v>602</v>
      </c>
      <c r="B151" s="60" t="s">
        <v>603</v>
      </c>
      <c r="C151" s="61" t="s">
        <v>49</v>
      </c>
      <c r="D151" s="61" t="s">
        <v>463</v>
      </c>
      <c r="E151" s="56" t="s">
        <v>21</v>
      </c>
      <c r="F151" s="57" t="s">
        <v>51</v>
      </c>
      <c r="G151" s="60" t="s">
        <v>604</v>
      </c>
      <c r="H151" s="60"/>
      <c r="I151" s="60"/>
      <c r="J151" s="58" t="s">
        <v>465</v>
      </c>
      <c r="K151" s="58" t="s">
        <v>466</v>
      </c>
      <c r="L151" s="58" t="s">
        <v>288</v>
      </c>
      <c r="M151" s="60"/>
      <c r="N151" s="64"/>
      <c r="O151" s="60" t="s">
        <v>113</v>
      </c>
      <c r="P151" s="60" t="s">
        <v>605</v>
      </c>
      <c r="Q151" s="60" t="s">
        <v>82</v>
      </c>
      <c r="R151" s="60" t="s">
        <v>21</v>
      </c>
      <c r="S151" s="60"/>
      <c r="T151" s="60" t="s">
        <v>141</v>
      </c>
      <c r="U151" s="61" t="s">
        <v>61</v>
      </c>
    </row>
    <row r="152" spans="1:21" ht="27">
      <c r="A152" s="60" t="s">
        <v>606</v>
      </c>
      <c r="B152" s="60" t="s">
        <v>607</v>
      </c>
      <c r="C152" s="61" t="s">
        <v>49</v>
      </c>
      <c r="D152" s="61" t="s">
        <v>463</v>
      </c>
      <c r="E152" s="56" t="s">
        <v>21</v>
      </c>
      <c r="F152" s="57" t="s">
        <v>51</v>
      </c>
      <c r="G152" s="60" t="s">
        <v>459</v>
      </c>
      <c r="H152" s="60"/>
      <c r="I152" s="60"/>
      <c r="J152" s="58" t="s">
        <v>465</v>
      </c>
      <c r="K152" s="58" t="s">
        <v>466</v>
      </c>
      <c r="L152" s="58" t="s">
        <v>288</v>
      </c>
      <c r="M152" s="60"/>
      <c r="N152" s="64"/>
      <c r="O152" s="60" t="s">
        <v>103</v>
      </c>
      <c r="P152" s="60" t="s">
        <v>158</v>
      </c>
      <c r="Q152" s="60" t="s">
        <v>82</v>
      </c>
      <c r="R152" s="60" t="s">
        <v>21</v>
      </c>
      <c r="S152" s="60"/>
      <c r="T152" s="60" t="s">
        <v>60</v>
      </c>
      <c r="U152" s="61" t="s">
        <v>61</v>
      </c>
    </row>
    <row r="153" spans="1:21" ht="40.5">
      <c r="A153" s="60" t="s">
        <v>608</v>
      </c>
      <c r="B153" s="60" t="s">
        <v>609</v>
      </c>
      <c r="C153" s="61" t="s">
        <v>49</v>
      </c>
      <c r="D153" s="61" t="s">
        <v>610</v>
      </c>
      <c r="E153" s="56" t="s">
        <v>21</v>
      </c>
      <c r="F153" s="57" t="s">
        <v>611</v>
      </c>
      <c r="G153" s="60" t="s">
        <v>464</v>
      </c>
      <c r="H153" s="60"/>
      <c r="I153" s="60"/>
      <c r="J153" s="58" t="s">
        <v>612</v>
      </c>
      <c r="K153" s="58" t="s">
        <v>54</v>
      </c>
      <c r="L153" s="58" t="s">
        <v>288</v>
      </c>
      <c r="M153" s="60" t="s">
        <v>289</v>
      </c>
      <c r="N153" s="64"/>
      <c r="O153" s="60" t="s">
        <v>57</v>
      </c>
      <c r="P153" s="60" t="s">
        <v>613</v>
      </c>
      <c r="Q153" s="60" t="s">
        <v>89</v>
      </c>
      <c r="R153" s="60" t="s">
        <v>21</v>
      </c>
      <c r="S153" s="60"/>
      <c r="T153" s="60" t="s">
        <v>60</v>
      </c>
      <c r="U153" s="61" t="s">
        <v>61</v>
      </c>
    </row>
    <row r="154" spans="1:21" ht="27">
      <c r="A154" s="60" t="s">
        <v>614</v>
      </c>
      <c r="B154" s="60" t="s">
        <v>63</v>
      </c>
      <c r="C154" s="61" t="s">
        <v>49</v>
      </c>
      <c r="D154" s="61" t="s">
        <v>610</v>
      </c>
      <c r="E154" s="56" t="s">
        <v>21</v>
      </c>
      <c r="F154" s="57" t="s">
        <v>51</v>
      </c>
      <c r="G154" s="60" t="s">
        <v>64</v>
      </c>
      <c r="H154" s="60"/>
      <c r="I154" s="60"/>
      <c r="J154" s="58" t="s">
        <v>465</v>
      </c>
      <c r="K154" s="58" t="s">
        <v>466</v>
      </c>
      <c r="L154" s="58" t="s">
        <v>288</v>
      </c>
      <c r="M154" s="60" t="s">
        <v>56</v>
      </c>
      <c r="N154" s="64"/>
      <c r="O154" s="60" t="s">
        <v>65</v>
      </c>
      <c r="P154" s="60" t="s">
        <v>615</v>
      </c>
      <c r="Q154" s="60" t="s">
        <v>59</v>
      </c>
      <c r="R154" s="60" t="s">
        <v>19</v>
      </c>
      <c r="S154" s="60"/>
      <c r="T154" s="60" t="s">
        <v>60</v>
      </c>
      <c r="U154" s="61" t="s">
        <v>61</v>
      </c>
    </row>
    <row r="155" spans="1:21" ht="27">
      <c r="A155" s="60" t="s">
        <v>616</v>
      </c>
      <c r="B155" s="60" t="s">
        <v>617</v>
      </c>
      <c r="C155" s="61" t="s">
        <v>49</v>
      </c>
      <c r="D155" s="61" t="s">
        <v>610</v>
      </c>
      <c r="E155" s="56" t="s">
        <v>21</v>
      </c>
      <c r="F155" s="57" t="s">
        <v>618</v>
      </c>
      <c r="G155" s="60" t="s">
        <v>472</v>
      </c>
      <c r="H155" s="60"/>
      <c r="I155" s="60"/>
      <c r="J155" s="58" t="s">
        <v>612</v>
      </c>
      <c r="K155" s="58" t="s">
        <v>54</v>
      </c>
      <c r="L155" s="58" t="s">
        <v>288</v>
      </c>
      <c r="M155" s="60"/>
      <c r="N155" s="64"/>
      <c r="O155" s="60" t="s">
        <v>87</v>
      </c>
      <c r="P155" s="60" t="s">
        <v>473</v>
      </c>
      <c r="Q155" s="60" t="s">
        <v>89</v>
      </c>
      <c r="R155" s="60" t="s">
        <v>21</v>
      </c>
      <c r="S155" s="60"/>
      <c r="T155" s="60" t="s">
        <v>60</v>
      </c>
      <c r="U155" s="61" t="s">
        <v>61</v>
      </c>
    </row>
    <row r="156" spans="1:21" ht="27">
      <c r="A156" s="60" t="s">
        <v>619</v>
      </c>
      <c r="B156" s="60" t="s">
        <v>620</v>
      </c>
      <c r="C156" s="61" t="s">
        <v>49</v>
      </c>
      <c r="D156" s="61" t="s">
        <v>610</v>
      </c>
      <c r="E156" s="56" t="s">
        <v>21</v>
      </c>
      <c r="F156" s="57" t="s">
        <v>51</v>
      </c>
      <c r="G156" s="60" t="s">
        <v>476</v>
      </c>
      <c r="H156" s="60"/>
      <c r="I156" s="60"/>
      <c r="J156" s="58" t="s">
        <v>612</v>
      </c>
      <c r="K156" s="58" t="s">
        <v>54</v>
      </c>
      <c r="L156" s="58" t="s">
        <v>288</v>
      </c>
      <c r="M156" s="60" t="s">
        <v>298</v>
      </c>
      <c r="N156" s="64"/>
      <c r="O156" s="60" t="s">
        <v>93</v>
      </c>
      <c r="P156" s="60" t="s">
        <v>477</v>
      </c>
      <c r="Q156" s="60" t="s">
        <v>82</v>
      </c>
      <c r="R156" s="60" t="s">
        <v>21</v>
      </c>
      <c r="S156" s="60"/>
      <c r="T156" s="60" t="s">
        <v>83</v>
      </c>
      <c r="U156" s="61" t="s">
        <v>61</v>
      </c>
    </row>
    <row r="157" spans="1:21" ht="27">
      <c r="A157" s="60" t="s">
        <v>621</v>
      </c>
      <c r="B157" s="60" t="s">
        <v>622</v>
      </c>
      <c r="C157" s="61" t="s">
        <v>49</v>
      </c>
      <c r="D157" s="61" t="s">
        <v>610</v>
      </c>
      <c r="E157" s="56" t="s">
        <v>21</v>
      </c>
      <c r="F157" s="57" t="s">
        <v>51</v>
      </c>
      <c r="G157" s="60" t="s">
        <v>480</v>
      </c>
      <c r="H157" s="60"/>
      <c r="I157" s="60"/>
      <c r="J157" s="58" t="s">
        <v>612</v>
      </c>
      <c r="K157" s="58" t="s">
        <v>54</v>
      </c>
      <c r="L157" s="58" t="s">
        <v>288</v>
      </c>
      <c r="M157" s="60"/>
      <c r="N157" s="64"/>
      <c r="O157" s="60" t="s">
        <v>98</v>
      </c>
      <c r="P157" s="60" t="s">
        <v>88</v>
      </c>
      <c r="Q157" s="60" t="s">
        <v>89</v>
      </c>
      <c r="R157" s="60" t="s">
        <v>21</v>
      </c>
      <c r="S157" s="60"/>
      <c r="T157" s="60" t="s">
        <v>60</v>
      </c>
      <c r="U157" s="61" t="s">
        <v>61</v>
      </c>
    </row>
    <row r="158" spans="1:21" ht="27">
      <c r="A158" s="60" t="s">
        <v>623</v>
      </c>
      <c r="B158" s="60" t="s">
        <v>624</v>
      </c>
      <c r="C158" s="61" t="s">
        <v>49</v>
      </c>
      <c r="D158" s="61" t="s">
        <v>610</v>
      </c>
      <c r="E158" s="56" t="s">
        <v>21</v>
      </c>
      <c r="F158" s="57" t="s">
        <v>51</v>
      </c>
      <c r="G158" s="60" t="s">
        <v>305</v>
      </c>
      <c r="H158" s="60"/>
      <c r="I158" s="60"/>
      <c r="J158" s="58" t="s">
        <v>612</v>
      </c>
      <c r="K158" s="58" t="s">
        <v>54</v>
      </c>
      <c r="L158" s="58" t="s">
        <v>288</v>
      </c>
      <c r="M158" s="60"/>
      <c r="N158" s="64"/>
      <c r="O158" s="60" t="s">
        <v>103</v>
      </c>
      <c r="P158" s="60" t="s">
        <v>306</v>
      </c>
      <c r="Q158" s="60" t="s">
        <v>89</v>
      </c>
      <c r="R158" s="60" t="s">
        <v>21</v>
      </c>
      <c r="S158" s="60"/>
      <c r="T158" s="60" t="s">
        <v>60</v>
      </c>
      <c r="U158" s="61" t="s">
        <v>61</v>
      </c>
    </row>
    <row r="159" spans="1:21" ht="27">
      <c r="A159" s="60" t="s">
        <v>625</v>
      </c>
      <c r="B159" s="60" t="s">
        <v>626</v>
      </c>
      <c r="C159" s="61" t="s">
        <v>49</v>
      </c>
      <c r="D159" s="61" t="s">
        <v>610</v>
      </c>
      <c r="E159" s="56" t="s">
        <v>21</v>
      </c>
      <c r="F159" s="57" t="s">
        <v>51</v>
      </c>
      <c r="G159" s="60" t="s">
        <v>627</v>
      </c>
      <c r="H159" s="60"/>
      <c r="I159" s="60"/>
      <c r="J159" s="58" t="s">
        <v>612</v>
      </c>
      <c r="K159" s="58" t="s">
        <v>54</v>
      </c>
      <c r="L159" s="58" t="s">
        <v>288</v>
      </c>
      <c r="M159" s="60"/>
      <c r="N159" s="64"/>
      <c r="O159" s="60" t="s">
        <v>108</v>
      </c>
      <c r="P159" s="60" t="s">
        <v>628</v>
      </c>
      <c r="Q159" s="60" t="s">
        <v>59</v>
      </c>
      <c r="R159" s="60" t="s">
        <v>21</v>
      </c>
      <c r="S159" s="60"/>
      <c r="T159" s="60" t="s">
        <v>60</v>
      </c>
      <c r="U159" s="61" t="s">
        <v>61</v>
      </c>
    </row>
    <row r="160" spans="1:21">
      <c r="A160" s="60" t="s">
        <v>629</v>
      </c>
      <c r="B160" s="60" t="s">
        <v>630</v>
      </c>
      <c r="C160" s="61" t="s">
        <v>49</v>
      </c>
      <c r="D160" s="61" t="s">
        <v>610</v>
      </c>
      <c r="E160" s="56" t="s">
        <v>21</v>
      </c>
      <c r="F160" s="57" t="s">
        <v>51</v>
      </c>
      <c r="G160" s="60" t="s">
        <v>316</v>
      </c>
      <c r="H160" s="60"/>
      <c r="I160" s="60"/>
      <c r="J160" s="58" t="s">
        <v>612</v>
      </c>
      <c r="K160" s="58" t="s">
        <v>54</v>
      </c>
      <c r="L160" s="58" t="s">
        <v>288</v>
      </c>
      <c r="M160" s="60"/>
      <c r="N160" s="64"/>
      <c r="O160" s="60" t="s">
        <v>153</v>
      </c>
      <c r="P160" s="60" t="s">
        <v>158</v>
      </c>
      <c r="Q160" s="60" t="s">
        <v>89</v>
      </c>
      <c r="R160" s="60" t="s">
        <v>26</v>
      </c>
      <c r="S160" s="60"/>
      <c r="T160" s="60" t="s">
        <v>60</v>
      </c>
      <c r="U160" s="61" t="s">
        <v>61</v>
      </c>
    </row>
    <row r="161" spans="1:21" ht="27">
      <c r="A161" s="60" t="s">
        <v>631</v>
      </c>
      <c r="B161" s="60" t="s">
        <v>632</v>
      </c>
      <c r="C161" s="61" t="s">
        <v>49</v>
      </c>
      <c r="D161" s="61" t="s">
        <v>610</v>
      </c>
      <c r="E161" s="56" t="s">
        <v>21</v>
      </c>
      <c r="F161" s="57" t="s">
        <v>51</v>
      </c>
      <c r="G161" s="60" t="s">
        <v>633</v>
      </c>
      <c r="H161" s="60"/>
      <c r="I161" s="60"/>
      <c r="J161" s="58" t="s">
        <v>612</v>
      </c>
      <c r="K161" s="58" t="s">
        <v>54</v>
      </c>
      <c r="L161" s="58" t="s">
        <v>288</v>
      </c>
      <c r="M161" s="60"/>
      <c r="N161" s="64"/>
      <c r="O161" s="60" t="s">
        <v>123</v>
      </c>
      <c r="P161" s="60" t="s">
        <v>233</v>
      </c>
      <c r="Q161" s="60" t="s">
        <v>89</v>
      </c>
      <c r="R161" s="60" t="s">
        <v>21</v>
      </c>
      <c r="S161" s="60"/>
      <c r="T161" s="60" t="s">
        <v>60</v>
      </c>
      <c r="U161" s="61" t="s">
        <v>61</v>
      </c>
    </row>
    <row r="162" spans="1:21" ht="27">
      <c r="A162" s="60" t="s">
        <v>634</v>
      </c>
      <c r="B162" s="60" t="s">
        <v>635</v>
      </c>
      <c r="C162" s="61" t="s">
        <v>49</v>
      </c>
      <c r="D162" s="61" t="s">
        <v>610</v>
      </c>
      <c r="E162" s="56" t="s">
        <v>21</v>
      </c>
      <c r="F162" s="57" t="s">
        <v>51</v>
      </c>
      <c r="G162" s="60" t="s">
        <v>107</v>
      </c>
      <c r="H162" s="60"/>
      <c r="I162" s="60"/>
      <c r="J162" s="58" t="s">
        <v>612</v>
      </c>
      <c r="K162" s="58" t="s">
        <v>54</v>
      </c>
      <c r="L162" s="58" t="s">
        <v>288</v>
      </c>
      <c r="M162" s="60"/>
      <c r="N162" s="64"/>
      <c r="O162" s="60" t="s">
        <v>117</v>
      </c>
      <c r="P162" s="60" t="s">
        <v>496</v>
      </c>
      <c r="Q162" s="60" t="s">
        <v>82</v>
      </c>
      <c r="R162" s="60" t="s">
        <v>21</v>
      </c>
      <c r="S162" s="60"/>
      <c r="T162" s="60" t="s">
        <v>60</v>
      </c>
      <c r="U162" s="61" t="s">
        <v>61</v>
      </c>
    </row>
    <row r="163" spans="1:21" ht="27">
      <c r="A163" s="60" t="s">
        <v>636</v>
      </c>
      <c r="B163" s="60" t="s">
        <v>637</v>
      </c>
      <c r="C163" s="61" t="s">
        <v>49</v>
      </c>
      <c r="D163" s="61" t="s">
        <v>610</v>
      </c>
      <c r="E163" s="56" t="s">
        <v>21</v>
      </c>
      <c r="F163" s="57" t="s">
        <v>51</v>
      </c>
      <c r="G163" s="60" t="s">
        <v>324</v>
      </c>
      <c r="H163" s="60"/>
      <c r="I163" s="60"/>
      <c r="J163" s="58" t="s">
        <v>612</v>
      </c>
      <c r="K163" s="58" t="s">
        <v>54</v>
      </c>
      <c r="L163" s="58" t="s">
        <v>288</v>
      </c>
      <c r="M163" s="60"/>
      <c r="N163" s="64"/>
      <c r="O163" s="60" t="s">
        <v>232</v>
      </c>
      <c r="P163" s="60" t="s">
        <v>499</v>
      </c>
      <c r="Q163" s="60" t="s">
        <v>89</v>
      </c>
      <c r="R163" s="60" t="s">
        <v>19</v>
      </c>
      <c r="S163" s="60"/>
      <c r="T163" s="60" t="s">
        <v>119</v>
      </c>
      <c r="U163" s="61" t="s">
        <v>61</v>
      </c>
    </row>
    <row r="164" spans="1:21" ht="27">
      <c r="A164" s="60" t="s">
        <v>638</v>
      </c>
      <c r="B164" s="60" t="s">
        <v>639</v>
      </c>
      <c r="C164" s="61" t="s">
        <v>49</v>
      </c>
      <c r="D164" s="61" t="s">
        <v>610</v>
      </c>
      <c r="E164" s="56" t="s">
        <v>21</v>
      </c>
      <c r="F164" s="57" t="s">
        <v>51</v>
      </c>
      <c r="G164" s="60" t="s">
        <v>640</v>
      </c>
      <c r="H164" s="60"/>
      <c r="I164" s="60"/>
      <c r="J164" s="58" t="s">
        <v>612</v>
      </c>
      <c r="K164" s="58" t="s">
        <v>54</v>
      </c>
      <c r="L164" s="58" t="s">
        <v>288</v>
      </c>
      <c r="M164" s="60"/>
      <c r="N164" s="64"/>
      <c r="O164" s="60" t="s">
        <v>57</v>
      </c>
      <c r="P164" s="60" t="s">
        <v>329</v>
      </c>
      <c r="Q164" s="60" t="s">
        <v>82</v>
      </c>
      <c r="R164" s="60" t="s">
        <v>19</v>
      </c>
      <c r="S164" s="60"/>
      <c r="T164" s="60" t="s">
        <v>60</v>
      </c>
      <c r="U164" s="61" t="s">
        <v>61</v>
      </c>
    </row>
    <row r="165" spans="1:21" ht="27">
      <c r="A165" s="60" t="s">
        <v>641</v>
      </c>
      <c r="B165" s="60" t="s">
        <v>642</v>
      </c>
      <c r="C165" s="61" t="s">
        <v>49</v>
      </c>
      <c r="D165" s="61" t="s">
        <v>610</v>
      </c>
      <c r="E165" s="56" t="s">
        <v>21</v>
      </c>
      <c r="F165" s="57" t="s">
        <v>51</v>
      </c>
      <c r="G165" s="60" t="s">
        <v>332</v>
      </c>
      <c r="H165" s="60"/>
      <c r="I165" s="60"/>
      <c r="J165" s="58" t="s">
        <v>612</v>
      </c>
      <c r="K165" s="58" t="s">
        <v>54</v>
      </c>
      <c r="L165" s="58" t="s">
        <v>288</v>
      </c>
      <c r="M165" s="60"/>
      <c r="N165" s="64"/>
      <c r="O165" s="60" t="s">
        <v>87</v>
      </c>
      <c r="P165" s="60" t="s">
        <v>643</v>
      </c>
      <c r="Q165" s="60" t="s">
        <v>82</v>
      </c>
      <c r="R165" s="60" t="s">
        <v>21</v>
      </c>
      <c r="S165" s="60"/>
      <c r="T165" s="60" t="s">
        <v>60</v>
      </c>
      <c r="U165" s="61" t="s">
        <v>61</v>
      </c>
    </row>
    <row r="166" spans="1:21" ht="27">
      <c r="A166" s="60" t="s">
        <v>644</v>
      </c>
      <c r="B166" s="60" t="s">
        <v>645</v>
      </c>
      <c r="C166" s="61" t="s">
        <v>49</v>
      </c>
      <c r="D166" s="61" t="s">
        <v>610</v>
      </c>
      <c r="E166" s="56" t="s">
        <v>21</v>
      </c>
      <c r="F166" s="57" t="s">
        <v>51</v>
      </c>
      <c r="G166" s="60" t="s">
        <v>328</v>
      </c>
      <c r="H166" s="60"/>
      <c r="I166" s="60"/>
      <c r="J166" s="58" t="s">
        <v>612</v>
      </c>
      <c r="K166" s="58" t="s">
        <v>54</v>
      </c>
      <c r="L166" s="58" t="s">
        <v>288</v>
      </c>
      <c r="M166" s="60"/>
      <c r="N166" s="64"/>
      <c r="O166" s="60" t="s">
        <v>93</v>
      </c>
      <c r="P166" s="60" t="s">
        <v>646</v>
      </c>
      <c r="Q166" s="60" t="s">
        <v>89</v>
      </c>
      <c r="R166" s="60" t="s">
        <v>21</v>
      </c>
      <c r="S166" s="60"/>
      <c r="T166" s="60" t="s">
        <v>60</v>
      </c>
      <c r="U166" s="61" t="s">
        <v>61</v>
      </c>
    </row>
    <row r="167" spans="1:21" ht="27">
      <c r="A167" s="60" t="s">
        <v>647</v>
      </c>
      <c r="B167" s="60" t="s">
        <v>648</v>
      </c>
      <c r="C167" s="61" t="s">
        <v>49</v>
      </c>
      <c r="D167" s="61" t="s">
        <v>610</v>
      </c>
      <c r="E167" s="56" t="s">
        <v>21</v>
      </c>
      <c r="F167" s="57" t="s">
        <v>51</v>
      </c>
      <c r="G167" s="60" t="s">
        <v>139</v>
      </c>
      <c r="H167" s="60"/>
      <c r="I167" s="60"/>
      <c r="J167" s="58" t="s">
        <v>612</v>
      </c>
      <c r="K167" s="58" t="s">
        <v>54</v>
      </c>
      <c r="L167" s="58" t="s">
        <v>288</v>
      </c>
      <c r="M167" s="60"/>
      <c r="N167" s="64"/>
      <c r="O167" s="60" t="s">
        <v>98</v>
      </c>
      <c r="P167" s="60" t="s">
        <v>227</v>
      </c>
      <c r="Q167" s="60" t="s">
        <v>82</v>
      </c>
      <c r="R167" s="60" t="s">
        <v>19</v>
      </c>
      <c r="S167" s="60"/>
      <c r="T167" s="60" t="s">
        <v>141</v>
      </c>
      <c r="U167" s="61" t="s">
        <v>61</v>
      </c>
    </row>
    <row r="168" spans="1:21" ht="27">
      <c r="A168" s="60" t="s">
        <v>649</v>
      </c>
      <c r="B168" s="60" t="s">
        <v>650</v>
      </c>
      <c r="C168" s="61" t="s">
        <v>49</v>
      </c>
      <c r="D168" s="61" t="s">
        <v>610</v>
      </c>
      <c r="E168" s="56" t="s">
        <v>21</v>
      </c>
      <c r="F168" s="57" t="s">
        <v>51</v>
      </c>
      <c r="G168" s="60" t="s">
        <v>651</v>
      </c>
      <c r="H168" s="60"/>
      <c r="I168" s="60"/>
      <c r="J168" s="58" t="s">
        <v>612</v>
      </c>
      <c r="K168" s="58" t="s">
        <v>54</v>
      </c>
      <c r="L168" s="58" t="s">
        <v>288</v>
      </c>
      <c r="M168" s="60"/>
      <c r="N168" s="64"/>
      <c r="O168" s="60" t="s">
        <v>103</v>
      </c>
      <c r="P168" s="60" t="s">
        <v>514</v>
      </c>
      <c r="Q168" s="60" t="s">
        <v>89</v>
      </c>
      <c r="R168" s="60" t="s">
        <v>19</v>
      </c>
      <c r="S168" s="60"/>
      <c r="T168" s="60" t="s">
        <v>60</v>
      </c>
      <c r="U168" s="61" t="s">
        <v>61</v>
      </c>
    </row>
    <row r="169" spans="1:21" ht="27">
      <c r="A169" s="60" t="s">
        <v>652</v>
      </c>
      <c r="B169" s="60" t="s">
        <v>653</v>
      </c>
      <c r="C169" s="61" t="s">
        <v>49</v>
      </c>
      <c r="D169" s="61" t="s">
        <v>610</v>
      </c>
      <c r="E169" s="56" t="s">
        <v>21</v>
      </c>
      <c r="F169" s="57" t="s">
        <v>51</v>
      </c>
      <c r="G169" s="60" t="s">
        <v>348</v>
      </c>
      <c r="H169" s="60"/>
      <c r="I169" s="60"/>
      <c r="J169" s="58" t="s">
        <v>612</v>
      </c>
      <c r="K169" s="58" t="s">
        <v>54</v>
      </c>
      <c r="L169" s="58" t="s">
        <v>288</v>
      </c>
      <c r="M169" s="60"/>
      <c r="N169" s="64"/>
      <c r="O169" s="60" t="s">
        <v>108</v>
      </c>
      <c r="P169" s="60" t="s">
        <v>149</v>
      </c>
      <c r="Q169" s="60" t="s">
        <v>89</v>
      </c>
      <c r="R169" s="60" t="s">
        <v>21</v>
      </c>
      <c r="S169" s="60"/>
      <c r="T169" s="60" t="s">
        <v>60</v>
      </c>
      <c r="U169" s="61" t="s">
        <v>61</v>
      </c>
    </row>
    <row r="170" spans="1:21" ht="27">
      <c r="A170" s="60" t="s">
        <v>654</v>
      </c>
      <c r="B170" s="60" t="s">
        <v>517</v>
      </c>
      <c r="C170" s="61" t="s">
        <v>49</v>
      </c>
      <c r="D170" s="61" t="s">
        <v>610</v>
      </c>
      <c r="E170" s="56" t="s">
        <v>21</v>
      </c>
      <c r="F170" s="57" t="s">
        <v>51</v>
      </c>
      <c r="G170" s="60" t="s">
        <v>351</v>
      </c>
      <c r="H170" s="60"/>
      <c r="I170" s="60"/>
      <c r="J170" s="58" t="s">
        <v>612</v>
      </c>
      <c r="K170" s="58" t="s">
        <v>54</v>
      </c>
      <c r="L170" s="58" t="s">
        <v>288</v>
      </c>
      <c r="M170" s="60"/>
      <c r="N170" s="64"/>
      <c r="O170" s="60" t="s">
        <v>153</v>
      </c>
      <c r="P170" s="60" t="s">
        <v>158</v>
      </c>
      <c r="Q170" s="60" t="s">
        <v>82</v>
      </c>
      <c r="R170" s="60" t="s">
        <v>21</v>
      </c>
      <c r="S170" s="60"/>
      <c r="T170" s="60" t="s">
        <v>60</v>
      </c>
      <c r="U170" s="61" t="s">
        <v>61</v>
      </c>
    </row>
    <row r="171" spans="1:21" ht="27">
      <c r="A171" s="60" t="s">
        <v>655</v>
      </c>
      <c r="B171" s="60" t="s">
        <v>156</v>
      </c>
      <c r="C171" s="61" t="s">
        <v>49</v>
      </c>
      <c r="D171" s="61" t="s">
        <v>610</v>
      </c>
      <c r="E171" s="56" t="s">
        <v>21</v>
      </c>
      <c r="F171" s="57" t="s">
        <v>51</v>
      </c>
      <c r="G171" s="60" t="s">
        <v>656</v>
      </c>
      <c r="H171" s="60"/>
      <c r="I171" s="60"/>
      <c r="J171" s="58" t="s">
        <v>612</v>
      </c>
      <c r="K171" s="58" t="s">
        <v>54</v>
      </c>
      <c r="L171" s="58" t="s">
        <v>288</v>
      </c>
      <c r="M171" s="60"/>
      <c r="N171" s="64"/>
      <c r="O171" s="60" t="s">
        <v>123</v>
      </c>
      <c r="P171" s="60" t="s">
        <v>158</v>
      </c>
      <c r="Q171" s="60" t="s">
        <v>82</v>
      </c>
      <c r="R171" s="60" t="s">
        <v>21</v>
      </c>
      <c r="S171" s="60"/>
      <c r="T171" s="60" t="s">
        <v>60</v>
      </c>
      <c r="U171" s="61" t="s">
        <v>61</v>
      </c>
    </row>
    <row r="172" spans="1:21">
      <c r="A172" s="60" t="s">
        <v>657</v>
      </c>
      <c r="B172" s="60" t="s">
        <v>658</v>
      </c>
      <c r="C172" s="61" t="s">
        <v>49</v>
      </c>
      <c r="D172" s="61" t="s">
        <v>610</v>
      </c>
      <c r="E172" s="56" t="s">
        <v>21</v>
      </c>
      <c r="F172" s="57" t="s">
        <v>51</v>
      </c>
      <c r="G172" s="60" t="s">
        <v>659</v>
      </c>
      <c r="H172" s="60"/>
      <c r="I172" s="60"/>
      <c r="J172" s="58" t="s">
        <v>612</v>
      </c>
      <c r="K172" s="58" t="s">
        <v>54</v>
      </c>
      <c r="L172" s="58" t="s">
        <v>288</v>
      </c>
      <c r="M172" s="60"/>
      <c r="N172" s="64"/>
      <c r="O172" s="60" t="s">
        <v>117</v>
      </c>
      <c r="P172" s="60" t="s">
        <v>162</v>
      </c>
      <c r="Q172" s="60" t="s">
        <v>89</v>
      </c>
      <c r="R172" s="60" t="s">
        <v>21</v>
      </c>
      <c r="S172" s="60"/>
      <c r="T172" s="60" t="s">
        <v>60</v>
      </c>
      <c r="U172" s="61" t="s">
        <v>61</v>
      </c>
    </row>
    <row r="173" spans="1:21" ht="27">
      <c r="A173" s="60" t="s">
        <v>660</v>
      </c>
      <c r="B173" s="60" t="s">
        <v>164</v>
      </c>
      <c r="C173" s="61" t="s">
        <v>49</v>
      </c>
      <c r="D173" s="61" t="s">
        <v>610</v>
      </c>
      <c r="E173" s="56" t="s">
        <v>21</v>
      </c>
      <c r="F173" s="57" t="s">
        <v>51</v>
      </c>
      <c r="G173" s="60" t="s">
        <v>661</v>
      </c>
      <c r="H173" s="60"/>
      <c r="I173" s="60"/>
      <c r="J173" s="58" t="s">
        <v>612</v>
      </c>
      <c r="K173" s="58" t="s">
        <v>54</v>
      </c>
      <c r="L173" s="58" t="s">
        <v>288</v>
      </c>
      <c r="M173" s="60"/>
      <c r="N173" s="64"/>
      <c r="O173" s="60" t="s">
        <v>166</v>
      </c>
      <c r="P173" s="60" t="s">
        <v>167</v>
      </c>
      <c r="Q173" s="60" t="s">
        <v>82</v>
      </c>
      <c r="R173" s="60" t="s">
        <v>21</v>
      </c>
      <c r="S173" s="60"/>
      <c r="T173" s="60" t="s">
        <v>60</v>
      </c>
      <c r="U173" s="61" t="s">
        <v>61</v>
      </c>
    </row>
    <row r="174" spans="1:21" ht="27">
      <c r="A174" s="60" t="s">
        <v>662</v>
      </c>
      <c r="B174" s="60" t="s">
        <v>663</v>
      </c>
      <c r="C174" s="61" t="s">
        <v>49</v>
      </c>
      <c r="D174" s="61" t="s">
        <v>610</v>
      </c>
      <c r="E174" s="56" t="s">
        <v>21</v>
      </c>
      <c r="F174" s="57" t="s">
        <v>51</v>
      </c>
      <c r="G174" s="60" t="s">
        <v>664</v>
      </c>
      <c r="H174" s="60"/>
      <c r="I174" s="60"/>
      <c r="J174" s="58" t="s">
        <v>612</v>
      </c>
      <c r="K174" s="58" t="s">
        <v>54</v>
      </c>
      <c r="L174" s="58" t="s">
        <v>288</v>
      </c>
      <c r="M174" s="60"/>
      <c r="N174" s="64"/>
      <c r="O174" s="60" t="s">
        <v>57</v>
      </c>
      <c r="P174" s="60" t="s">
        <v>528</v>
      </c>
      <c r="Q174" s="60" t="s">
        <v>82</v>
      </c>
      <c r="R174" s="60" t="s">
        <v>21</v>
      </c>
      <c r="S174" s="60"/>
      <c r="T174" s="60" t="s">
        <v>60</v>
      </c>
      <c r="U174" s="61" t="s">
        <v>61</v>
      </c>
    </row>
    <row r="175" spans="1:21" ht="27">
      <c r="A175" s="60" t="s">
        <v>665</v>
      </c>
      <c r="B175" s="60" t="s">
        <v>666</v>
      </c>
      <c r="C175" s="61" t="s">
        <v>49</v>
      </c>
      <c r="D175" s="61" t="s">
        <v>610</v>
      </c>
      <c r="E175" s="56" t="s">
        <v>21</v>
      </c>
      <c r="F175" s="57" t="s">
        <v>51</v>
      </c>
      <c r="G175" s="60" t="s">
        <v>667</v>
      </c>
      <c r="H175" s="60"/>
      <c r="I175" s="60"/>
      <c r="J175" s="58" t="s">
        <v>612</v>
      </c>
      <c r="K175" s="58" t="s">
        <v>54</v>
      </c>
      <c r="L175" s="58" t="s">
        <v>288</v>
      </c>
      <c r="M175" s="60"/>
      <c r="N175" s="64"/>
      <c r="O175" s="60" t="s">
        <v>87</v>
      </c>
      <c r="P175" s="60" t="s">
        <v>668</v>
      </c>
      <c r="Q175" s="60" t="s">
        <v>82</v>
      </c>
      <c r="R175" s="60" t="s">
        <v>19</v>
      </c>
      <c r="S175" s="60" t="s">
        <v>669</v>
      </c>
      <c r="T175" s="60" t="s">
        <v>83</v>
      </c>
      <c r="U175" s="61" t="s">
        <v>61</v>
      </c>
    </row>
    <row r="176" spans="1:21" ht="27">
      <c r="A176" s="60" t="s">
        <v>670</v>
      </c>
      <c r="B176" s="60" t="s">
        <v>671</v>
      </c>
      <c r="C176" s="61" t="s">
        <v>49</v>
      </c>
      <c r="D176" s="61" t="s">
        <v>610</v>
      </c>
      <c r="E176" s="56" t="s">
        <v>21</v>
      </c>
      <c r="F176" s="57" t="s">
        <v>51</v>
      </c>
      <c r="G176" s="60" t="s">
        <v>170</v>
      </c>
      <c r="H176" s="60"/>
      <c r="I176" s="60"/>
      <c r="J176" s="58" t="s">
        <v>612</v>
      </c>
      <c r="K176" s="58" t="s">
        <v>54</v>
      </c>
      <c r="L176" s="58" t="s">
        <v>288</v>
      </c>
      <c r="M176" s="60"/>
      <c r="N176" s="64"/>
      <c r="O176" s="60" t="s">
        <v>93</v>
      </c>
      <c r="P176" s="60" t="s">
        <v>672</v>
      </c>
      <c r="Q176" s="60" t="s">
        <v>82</v>
      </c>
      <c r="R176" s="60" t="s">
        <v>21</v>
      </c>
      <c r="S176" s="60" t="s">
        <v>669</v>
      </c>
      <c r="T176" s="60" t="s">
        <v>83</v>
      </c>
      <c r="U176" s="61" t="s">
        <v>61</v>
      </c>
    </row>
    <row r="177" spans="1:21" ht="27">
      <c r="A177" s="60" t="s">
        <v>673</v>
      </c>
      <c r="B177" s="60" t="s">
        <v>674</v>
      </c>
      <c r="C177" s="61" t="s">
        <v>49</v>
      </c>
      <c r="D177" s="61" t="s">
        <v>610</v>
      </c>
      <c r="E177" s="56" t="s">
        <v>21</v>
      </c>
      <c r="F177" s="57" t="s">
        <v>51</v>
      </c>
      <c r="G177" s="60" t="s">
        <v>675</v>
      </c>
      <c r="H177" s="60"/>
      <c r="I177" s="60"/>
      <c r="J177" s="58" t="s">
        <v>612</v>
      </c>
      <c r="K177" s="58" t="s">
        <v>54</v>
      </c>
      <c r="L177" s="58" t="s">
        <v>288</v>
      </c>
      <c r="M177" s="60"/>
      <c r="N177" s="64"/>
      <c r="O177" s="60" t="s">
        <v>98</v>
      </c>
      <c r="P177" s="60" t="s">
        <v>185</v>
      </c>
      <c r="Q177" s="60" t="s">
        <v>82</v>
      </c>
      <c r="R177" s="60" t="s">
        <v>21</v>
      </c>
      <c r="S177" s="60" t="s">
        <v>669</v>
      </c>
      <c r="T177" s="60" t="s">
        <v>83</v>
      </c>
      <c r="U177" s="61" t="s">
        <v>61</v>
      </c>
    </row>
    <row r="178" spans="1:21" ht="27">
      <c r="A178" s="60" t="s">
        <v>676</v>
      </c>
      <c r="B178" s="60" t="s">
        <v>677</v>
      </c>
      <c r="C178" s="61" t="s">
        <v>49</v>
      </c>
      <c r="D178" s="61" t="s">
        <v>610</v>
      </c>
      <c r="E178" s="56" t="s">
        <v>21</v>
      </c>
      <c r="F178" s="57" t="s">
        <v>51</v>
      </c>
      <c r="G178" s="60" t="s">
        <v>542</v>
      </c>
      <c r="H178" s="60"/>
      <c r="I178" s="60"/>
      <c r="J178" s="58" t="s">
        <v>612</v>
      </c>
      <c r="K178" s="58" t="s">
        <v>54</v>
      </c>
      <c r="L178" s="58" t="s">
        <v>288</v>
      </c>
      <c r="M178" s="60"/>
      <c r="N178" s="64"/>
      <c r="O178" s="60" t="s">
        <v>103</v>
      </c>
      <c r="P178" s="60" t="s">
        <v>678</v>
      </c>
      <c r="Q178" s="60" t="s">
        <v>82</v>
      </c>
      <c r="R178" s="60" t="s">
        <v>19</v>
      </c>
      <c r="S178" s="60" t="s">
        <v>669</v>
      </c>
      <c r="T178" s="60" t="s">
        <v>83</v>
      </c>
      <c r="U178" s="61" t="s">
        <v>61</v>
      </c>
    </row>
    <row r="179" spans="1:21" ht="27">
      <c r="A179" s="60" t="s">
        <v>679</v>
      </c>
      <c r="B179" s="60" t="s">
        <v>680</v>
      </c>
      <c r="C179" s="61" t="s">
        <v>49</v>
      </c>
      <c r="D179" s="61" t="s">
        <v>610</v>
      </c>
      <c r="E179" s="56" t="s">
        <v>21</v>
      </c>
      <c r="F179" s="57" t="s">
        <v>51</v>
      </c>
      <c r="G179" s="60" t="s">
        <v>681</v>
      </c>
      <c r="H179" s="60"/>
      <c r="I179" s="60"/>
      <c r="J179" s="58" t="s">
        <v>612</v>
      </c>
      <c r="K179" s="58" t="s">
        <v>54</v>
      </c>
      <c r="L179" s="58" t="s">
        <v>288</v>
      </c>
      <c r="M179" s="60"/>
      <c r="N179" s="64"/>
      <c r="O179" s="60" t="s">
        <v>108</v>
      </c>
      <c r="P179" s="60" t="s">
        <v>185</v>
      </c>
      <c r="Q179" s="60" t="s">
        <v>82</v>
      </c>
      <c r="R179" s="60" t="s">
        <v>21</v>
      </c>
      <c r="S179" s="60" t="s">
        <v>669</v>
      </c>
      <c r="T179" s="60" t="s">
        <v>83</v>
      </c>
      <c r="U179" s="61" t="s">
        <v>61</v>
      </c>
    </row>
    <row r="180" spans="1:21" ht="27">
      <c r="A180" s="60" t="s">
        <v>682</v>
      </c>
      <c r="B180" s="60" t="s">
        <v>683</v>
      </c>
      <c r="C180" s="61" t="s">
        <v>49</v>
      </c>
      <c r="D180" s="61" t="s">
        <v>610</v>
      </c>
      <c r="E180" s="56" t="s">
        <v>21</v>
      </c>
      <c r="F180" s="57" t="s">
        <v>51</v>
      </c>
      <c r="G180" s="60" t="s">
        <v>684</v>
      </c>
      <c r="H180" s="60"/>
      <c r="I180" s="60"/>
      <c r="J180" s="58" t="s">
        <v>612</v>
      </c>
      <c r="K180" s="58" t="s">
        <v>54</v>
      </c>
      <c r="L180" s="58" t="s">
        <v>288</v>
      </c>
      <c r="M180" s="60"/>
      <c r="N180" s="64"/>
      <c r="O180" s="60" t="s">
        <v>153</v>
      </c>
      <c r="P180" s="60" t="s">
        <v>553</v>
      </c>
      <c r="Q180" s="60" t="s">
        <v>82</v>
      </c>
      <c r="R180" s="60" t="s">
        <v>19</v>
      </c>
      <c r="S180" s="60" t="s">
        <v>685</v>
      </c>
      <c r="T180" s="60" t="s">
        <v>83</v>
      </c>
      <c r="U180" s="61" t="s">
        <v>61</v>
      </c>
    </row>
    <row r="181" spans="1:21" ht="27">
      <c r="A181" s="60" t="s">
        <v>686</v>
      </c>
      <c r="B181" s="60" t="s">
        <v>687</v>
      </c>
      <c r="C181" s="61" t="s">
        <v>49</v>
      </c>
      <c r="D181" s="61" t="s">
        <v>610</v>
      </c>
      <c r="E181" s="56" t="s">
        <v>21</v>
      </c>
      <c r="F181" s="57" t="s">
        <v>51</v>
      </c>
      <c r="G181" s="60" t="s">
        <v>688</v>
      </c>
      <c r="H181" s="60"/>
      <c r="I181" s="60"/>
      <c r="J181" s="58" t="s">
        <v>612</v>
      </c>
      <c r="K181" s="58" t="s">
        <v>54</v>
      </c>
      <c r="L181" s="58" t="s">
        <v>288</v>
      </c>
      <c r="M181" s="60"/>
      <c r="N181" s="64"/>
      <c r="O181" s="60" t="s">
        <v>166</v>
      </c>
      <c r="P181" s="60" t="s">
        <v>689</v>
      </c>
      <c r="Q181" s="60" t="s">
        <v>82</v>
      </c>
      <c r="R181" s="60" t="s">
        <v>19</v>
      </c>
      <c r="S181" s="60"/>
      <c r="T181" s="60" t="s">
        <v>141</v>
      </c>
      <c r="U181" s="61" t="s">
        <v>61</v>
      </c>
    </row>
    <row r="182" spans="1:21" ht="27">
      <c r="A182" s="60" t="s">
        <v>690</v>
      </c>
      <c r="B182" s="60" t="s">
        <v>691</v>
      </c>
      <c r="C182" s="61" t="s">
        <v>49</v>
      </c>
      <c r="D182" s="61" t="s">
        <v>610</v>
      </c>
      <c r="E182" s="56" t="s">
        <v>21</v>
      </c>
      <c r="F182" s="57" t="s">
        <v>51</v>
      </c>
      <c r="G182" s="60" t="s">
        <v>556</v>
      </c>
      <c r="H182" s="60"/>
      <c r="I182" s="60"/>
      <c r="J182" s="58" t="s">
        <v>612</v>
      </c>
      <c r="K182" s="58" t="s">
        <v>54</v>
      </c>
      <c r="L182" s="58" t="s">
        <v>288</v>
      </c>
      <c r="M182" s="60"/>
      <c r="N182" s="64"/>
      <c r="O182" s="60" t="s">
        <v>117</v>
      </c>
      <c r="P182" s="60" t="s">
        <v>692</v>
      </c>
      <c r="Q182" s="60" t="s">
        <v>82</v>
      </c>
      <c r="R182" s="60" t="s">
        <v>21</v>
      </c>
      <c r="S182" s="60"/>
      <c r="T182" s="60" t="s">
        <v>83</v>
      </c>
      <c r="U182" s="61" t="s">
        <v>61</v>
      </c>
    </row>
    <row r="183" spans="1:21">
      <c r="A183" s="60" t="s">
        <v>693</v>
      </c>
      <c r="B183" s="60" t="s">
        <v>694</v>
      </c>
      <c r="C183" s="61" t="s">
        <v>49</v>
      </c>
      <c r="D183" s="61" t="s">
        <v>610</v>
      </c>
      <c r="E183" s="56" t="s">
        <v>21</v>
      </c>
      <c r="F183" s="57" t="s">
        <v>51</v>
      </c>
      <c r="G183" s="60" t="s">
        <v>664</v>
      </c>
      <c r="H183" s="60"/>
      <c r="I183" s="60"/>
      <c r="J183" s="58" t="s">
        <v>612</v>
      </c>
      <c r="K183" s="58" t="s">
        <v>54</v>
      </c>
      <c r="L183" s="58" t="s">
        <v>288</v>
      </c>
      <c r="M183" s="60"/>
      <c r="N183" s="64"/>
      <c r="O183" s="60" t="s">
        <v>232</v>
      </c>
      <c r="P183" s="60" t="s">
        <v>528</v>
      </c>
      <c r="Q183" s="60" t="s">
        <v>89</v>
      </c>
      <c r="R183" s="60" t="s">
        <v>21</v>
      </c>
      <c r="S183" s="60"/>
      <c r="T183" s="60" t="s">
        <v>60</v>
      </c>
      <c r="U183" s="61" t="s">
        <v>61</v>
      </c>
    </row>
    <row r="184" spans="1:21" ht="27">
      <c r="A184" s="60" t="s">
        <v>695</v>
      </c>
      <c r="B184" s="60" t="s">
        <v>696</v>
      </c>
      <c r="C184" s="61" t="s">
        <v>49</v>
      </c>
      <c r="D184" s="61" t="s">
        <v>610</v>
      </c>
      <c r="E184" s="56" t="s">
        <v>21</v>
      </c>
      <c r="F184" s="57" t="s">
        <v>51</v>
      </c>
      <c r="G184" s="60" t="s">
        <v>211</v>
      </c>
      <c r="H184" s="60"/>
      <c r="I184" s="60"/>
      <c r="J184" s="58" t="s">
        <v>612</v>
      </c>
      <c r="K184" s="58" t="s">
        <v>54</v>
      </c>
      <c r="L184" s="58" t="s">
        <v>288</v>
      </c>
      <c r="M184" s="60"/>
      <c r="N184" s="64"/>
      <c r="O184" s="60" t="s">
        <v>57</v>
      </c>
      <c r="P184" s="60" t="s">
        <v>212</v>
      </c>
      <c r="Q184" s="60" t="s">
        <v>82</v>
      </c>
      <c r="R184" s="60" t="s">
        <v>19</v>
      </c>
      <c r="S184" s="60"/>
      <c r="T184" s="60" t="s">
        <v>141</v>
      </c>
      <c r="U184" s="61" t="s">
        <v>61</v>
      </c>
    </row>
    <row r="185" spans="1:21" ht="27">
      <c r="A185" s="60" t="s">
        <v>697</v>
      </c>
      <c r="B185" s="60" t="s">
        <v>698</v>
      </c>
      <c r="C185" s="61" t="s">
        <v>49</v>
      </c>
      <c r="D185" s="61" t="s">
        <v>610</v>
      </c>
      <c r="E185" s="56" t="s">
        <v>21</v>
      </c>
      <c r="F185" s="57" t="s">
        <v>51</v>
      </c>
      <c r="G185" s="60" t="s">
        <v>406</v>
      </c>
      <c r="H185" s="60"/>
      <c r="I185" s="60"/>
      <c r="J185" s="58" t="s">
        <v>612</v>
      </c>
      <c r="K185" s="58" t="s">
        <v>54</v>
      </c>
      <c r="L185" s="58" t="s">
        <v>288</v>
      </c>
      <c r="M185" s="60"/>
      <c r="N185" s="64"/>
      <c r="O185" s="60" t="s">
        <v>87</v>
      </c>
      <c r="P185" s="60" t="s">
        <v>565</v>
      </c>
      <c r="Q185" s="60" t="s">
        <v>82</v>
      </c>
      <c r="R185" s="60" t="s">
        <v>21</v>
      </c>
      <c r="S185" s="60"/>
      <c r="T185" s="60" t="s">
        <v>141</v>
      </c>
      <c r="U185" s="61" t="s">
        <v>61</v>
      </c>
    </row>
    <row r="186" spans="1:21" ht="27">
      <c r="A186" s="60" t="s">
        <v>699</v>
      </c>
      <c r="B186" s="60" t="s">
        <v>700</v>
      </c>
      <c r="C186" s="61" t="s">
        <v>49</v>
      </c>
      <c r="D186" s="61" t="s">
        <v>610</v>
      </c>
      <c r="E186" s="56" t="s">
        <v>21</v>
      </c>
      <c r="F186" s="57" t="s">
        <v>51</v>
      </c>
      <c r="G186" s="60" t="s">
        <v>701</v>
      </c>
      <c r="H186" s="60"/>
      <c r="I186" s="60"/>
      <c r="J186" s="58" t="s">
        <v>612</v>
      </c>
      <c r="K186" s="58" t="s">
        <v>54</v>
      </c>
      <c r="L186" s="58" t="s">
        <v>288</v>
      </c>
      <c r="M186" s="60"/>
      <c r="N186" s="64"/>
      <c r="O186" s="60" t="s">
        <v>103</v>
      </c>
      <c r="P186" s="60" t="s">
        <v>220</v>
      </c>
      <c r="Q186" s="60" t="s">
        <v>82</v>
      </c>
      <c r="R186" s="60" t="s">
        <v>21</v>
      </c>
      <c r="S186" s="60"/>
      <c r="T186" s="60" t="s">
        <v>141</v>
      </c>
      <c r="U186" s="61" t="s">
        <v>61</v>
      </c>
    </row>
    <row r="187" spans="1:21" ht="27">
      <c r="A187" s="60" t="s">
        <v>702</v>
      </c>
      <c r="B187" s="60" t="s">
        <v>703</v>
      </c>
      <c r="C187" s="61" t="s">
        <v>49</v>
      </c>
      <c r="D187" s="61" t="s">
        <v>610</v>
      </c>
      <c r="E187" s="56" t="s">
        <v>21</v>
      </c>
      <c r="F187" s="57" t="s">
        <v>51</v>
      </c>
      <c r="G187" s="60" t="s">
        <v>413</v>
      </c>
      <c r="H187" s="60"/>
      <c r="I187" s="60"/>
      <c r="J187" s="58" t="s">
        <v>612</v>
      </c>
      <c r="K187" s="58" t="s">
        <v>54</v>
      </c>
      <c r="L187" s="58" t="s">
        <v>288</v>
      </c>
      <c r="M187" s="60"/>
      <c r="N187" s="64"/>
      <c r="O187" s="60" t="s">
        <v>232</v>
      </c>
      <c r="P187" s="60" t="s">
        <v>704</v>
      </c>
      <c r="Q187" s="60" t="s">
        <v>82</v>
      </c>
      <c r="R187" s="60" t="s">
        <v>21</v>
      </c>
      <c r="S187" s="60"/>
      <c r="T187" s="60" t="s">
        <v>141</v>
      </c>
      <c r="U187" s="61" t="s">
        <v>61</v>
      </c>
    </row>
    <row r="188" spans="1:21" ht="27">
      <c r="A188" s="60" t="s">
        <v>705</v>
      </c>
      <c r="B188" s="60" t="s">
        <v>706</v>
      </c>
      <c r="C188" s="61" t="s">
        <v>49</v>
      </c>
      <c r="D188" s="61" t="s">
        <v>610</v>
      </c>
      <c r="E188" s="56" t="s">
        <v>21</v>
      </c>
      <c r="F188" s="57" t="s">
        <v>51</v>
      </c>
      <c r="G188" s="60" t="s">
        <v>139</v>
      </c>
      <c r="H188" s="60"/>
      <c r="I188" s="60"/>
      <c r="J188" s="58" t="s">
        <v>612</v>
      </c>
      <c r="K188" s="58" t="s">
        <v>54</v>
      </c>
      <c r="L188" s="58" t="s">
        <v>288</v>
      </c>
      <c r="M188" s="60"/>
      <c r="N188" s="64"/>
      <c r="O188" s="60" t="s">
        <v>93</v>
      </c>
      <c r="P188" s="60" t="s">
        <v>227</v>
      </c>
      <c r="Q188" s="60" t="s">
        <v>82</v>
      </c>
      <c r="R188" s="60" t="s">
        <v>19</v>
      </c>
      <c r="S188" s="60"/>
      <c r="T188" s="60" t="s">
        <v>228</v>
      </c>
      <c r="U188" s="61" t="s">
        <v>61</v>
      </c>
    </row>
    <row r="189" spans="1:21">
      <c r="A189" s="60" t="s">
        <v>707</v>
      </c>
      <c r="B189" s="60" t="s">
        <v>708</v>
      </c>
      <c r="C189" s="61" t="s">
        <v>49</v>
      </c>
      <c r="D189" s="61" t="s">
        <v>610</v>
      </c>
      <c r="E189" s="56" t="s">
        <v>21</v>
      </c>
      <c r="F189" s="57" t="s">
        <v>51</v>
      </c>
      <c r="G189" s="60" t="s">
        <v>231</v>
      </c>
      <c r="H189" s="60"/>
      <c r="I189" s="60"/>
      <c r="J189" s="58" t="s">
        <v>612</v>
      </c>
      <c r="K189" s="58" t="s">
        <v>54</v>
      </c>
      <c r="L189" s="58" t="s">
        <v>288</v>
      </c>
      <c r="M189" s="60"/>
      <c r="N189" s="64"/>
      <c r="O189" s="60" t="s">
        <v>232</v>
      </c>
      <c r="P189" s="60" t="s">
        <v>233</v>
      </c>
      <c r="Q189" s="60" t="s">
        <v>89</v>
      </c>
      <c r="R189" s="60" t="s">
        <v>21</v>
      </c>
      <c r="S189" s="60"/>
      <c r="T189" s="60" t="s">
        <v>141</v>
      </c>
      <c r="U189" s="61" t="s">
        <v>61</v>
      </c>
    </row>
    <row r="190" spans="1:21">
      <c r="A190" s="60" t="s">
        <v>709</v>
      </c>
      <c r="B190" s="60" t="s">
        <v>710</v>
      </c>
      <c r="C190" s="61" t="s">
        <v>49</v>
      </c>
      <c r="D190" s="61" t="s">
        <v>610</v>
      </c>
      <c r="E190" s="56" t="s">
        <v>21</v>
      </c>
      <c r="F190" s="57" t="s">
        <v>51</v>
      </c>
      <c r="G190" s="60" t="s">
        <v>236</v>
      </c>
      <c r="H190" s="60"/>
      <c r="I190" s="60"/>
      <c r="J190" s="58" t="s">
        <v>612</v>
      </c>
      <c r="K190" s="58" t="s">
        <v>54</v>
      </c>
      <c r="L190" s="58" t="s">
        <v>288</v>
      </c>
      <c r="M190" s="60"/>
      <c r="N190" s="64"/>
      <c r="O190" s="60" t="s">
        <v>237</v>
      </c>
      <c r="P190" s="60" t="s">
        <v>421</v>
      </c>
      <c r="Q190" s="60" t="s">
        <v>82</v>
      </c>
      <c r="R190" s="60" t="s">
        <v>19</v>
      </c>
      <c r="S190" s="60"/>
      <c r="T190" s="60" t="s">
        <v>228</v>
      </c>
      <c r="U190" s="61" t="s">
        <v>61</v>
      </c>
    </row>
    <row r="191" spans="1:21" ht="27">
      <c r="A191" s="60" t="s">
        <v>711</v>
      </c>
      <c r="B191" s="60" t="s">
        <v>712</v>
      </c>
      <c r="C191" s="61" t="s">
        <v>49</v>
      </c>
      <c r="D191" s="61" t="s">
        <v>610</v>
      </c>
      <c r="E191" s="56" t="s">
        <v>21</v>
      </c>
      <c r="F191" s="57" t="s">
        <v>51</v>
      </c>
      <c r="G191" s="60" t="s">
        <v>424</v>
      </c>
      <c r="H191" s="60"/>
      <c r="I191" s="60"/>
      <c r="J191" s="58" t="s">
        <v>612</v>
      </c>
      <c r="K191" s="58" t="s">
        <v>54</v>
      </c>
      <c r="L191" s="58" t="s">
        <v>288</v>
      </c>
      <c r="M191" s="60"/>
      <c r="N191" s="64"/>
      <c r="O191" s="60" t="s">
        <v>166</v>
      </c>
      <c r="P191" s="60" t="s">
        <v>242</v>
      </c>
      <c r="Q191" s="60" t="s">
        <v>82</v>
      </c>
      <c r="R191" s="60" t="s">
        <v>19</v>
      </c>
      <c r="S191" s="60"/>
      <c r="T191" s="60" t="s">
        <v>228</v>
      </c>
      <c r="U191" s="61" t="s">
        <v>61</v>
      </c>
    </row>
    <row r="192" spans="1:21" ht="27">
      <c r="A192" s="60" t="s">
        <v>713</v>
      </c>
      <c r="B192" s="60" t="s">
        <v>714</v>
      </c>
      <c r="C192" s="61" t="s">
        <v>49</v>
      </c>
      <c r="D192" s="61" t="s">
        <v>610</v>
      </c>
      <c r="E192" s="56" t="s">
        <v>21</v>
      </c>
      <c r="F192" s="57" t="s">
        <v>51</v>
      </c>
      <c r="G192" s="60" t="s">
        <v>427</v>
      </c>
      <c r="H192" s="60"/>
      <c r="I192" s="60"/>
      <c r="J192" s="58" t="s">
        <v>612</v>
      </c>
      <c r="K192" s="58" t="s">
        <v>54</v>
      </c>
      <c r="L192" s="58" t="s">
        <v>288</v>
      </c>
      <c r="M192" s="60"/>
      <c r="N192" s="64"/>
      <c r="O192" s="60" t="s">
        <v>98</v>
      </c>
      <c r="P192" s="60" t="s">
        <v>246</v>
      </c>
      <c r="Q192" s="60" t="s">
        <v>89</v>
      </c>
      <c r="R192" s="60" t="s">
        <v>19</v>
      </c>
      <c r="S192" s="60"/>
      <c r="T192" s="60" t="s">
        <v>119</v>
      </c>
      <c r="U192" s="61" t="s">
        <v>61</v>
      </c>
    </row>
    <row r="193" spans="1:21">
      <c r="A193" s="60" t="s">
        <v>715</v>
      </c>
      <c r="B193" s="60" t="s">
        <v>716</v>
      </c>
      <c r="C193" s="61" t="s">
        <v>49</v>
      </c>
      <c r="D193" s="61" t="s">
        <v>610</v>
      </c>
      <c r="E193" s="56" t="s">
        <v>21</v>
      </c>
      <c r="F193" s="57" t="s">
        <v>51</v>
      </c>
      <c r="G193" s="60" t="s">
        <v>430</v>
      </c>
      <c r="H193" s="60"/>
      <c r="I193" s="60"/>
      <c r="J193" s="58" t="s">
        <v>612</v>
      </c>
      <c r="K193" s="58" t="s">
        <v>54</v>
      </c>
      <c r="L193" s="58" t="s">
        <v>288</v>
      </c>
      <c r="M193" s="60"/>
      <c r="N193" s="64"/>
      <c r="O193" s="60" t="s">
        <v>153</v>
      </c>
      <c r="P193" s="60" t="s">
        <v>431</v>
      </c>
      <c r="Q193" s="60" t="s">
        <v>82</v>
      </c>
      <c r="R193" s="60" t="s">
        <v>19</v>
      </c>
      <c r="S193" s="60"/>
      <c r="T193" s="60" t="s">
        <v>119</v>
      </c>
      <c r="U193" s="61" t="s">
        <v>61</v>
      </c>
    </row>
    <row r="194" spans="1:21" ht="27">
      <c r="A194" s="60" t="s">
        <v>717</v>
      </c>
      <c r="B194" s="60" t="s">
        <v>586</v>
      </c>
      <c r="C194" s="61" t="s">
        <v>49</v>
      </c>
      <c r="D194" s="61" t="s">
        <v>610</v>
      </c>
      <c r="E194" s="56" t="s">
        <v>21</v>
      </c>
      <c r="F194" s="57" t="s">
        <v>51</v>
      </c>
      <c r="G194" s="60" t="s">
        <v>253</v>
      </c>
      <c r="H194" s="60"/>
      <c r="I194" s="60"/>
      <c r="J194" s="58" t="s">
        <v>612</v>
      </c>
      <c r="K194" s="58" t="s">
        <v>54</v>
      </c>
      <c r="L194" s="58" t="s">
        <v>288</v>
      </c>
      <c r="M194" s="60"/>
      <c r="N194" s="64"/>
      <c r="O194" s="60" t="s">
        <v>113</v>
      </c>
      <c r="P194" s="60" t="s">
        <v>718</v>
      </c>
      <c r="Q194" s="60" t="s">
        <v>82</v>
      </c>
      <c r="R194" s="60" t="s">
        <v>19</v>
      </c>
      <c r="S194" s="60"/>
      <c r="T194" s="60" t="s">
        <v>141</v>
      </c>
      <c r="U194" s="61" t="s">
        <v>61</v>
      </c>
    </row>
    <row r="195" spans="1:21" ht="27">
      <c r="A195" s="60" t="s">
        <v>719</v>
      </c>
      <c r="B195" s="60" t="s">
        <v>720</v>
      </c>
      <c r="C195" s="61" t="s">
        <v>49</v>
      </c>
      <c r="D195" s="61" t="s">
        <v>610</v>
      </c>
      <c r="E195" s="56" t="s">
        <v>21</v>
      </c>
      <c r="F195" s="57" t="s">
        <v>51</v>
      </c>
      <c r="G195" s="60" t="s">
        <v>721</v>
      </c>
      <c r="H195" s="60"/>
      <c r="I195" s="60"/>
      <c r="J195" s="58" t="s">
        <v>612</v>
      </c>
      <c r="K195" s="58" t="s">
        <v>54</v>
      </c>
      <c r="L195" s="58" t="s">
        <v>288</v>
      </c>
      <c r="M195" s="60"/>
      <c r="N195" s="64"/>
      <c r="O195" s="60" t="s">
        <v>57</v>
      </c>
      <c r="P195" s="60" t="s">
        <v>591</v>
      </c>
      <c r="Q195" s="60" t="s">
        <v>82</v>
      </c>
      <c r="R195" s="60" t="s">
        <v>19</v>
      </c>
      <c r="S195" s="60"/>
      <c r="T195" s="60" t="s">
        <v>119</v>
      </c>
      <c r="U195" s="61" t="s">
        <v>61</v>
      </c>
    </row>
    <row r="196" spans="1:21" ht="27">
      <c r="A196" s="60" t="s">
        <v>722</v>
      </c>
      <c r="B196" s="60" t="s">
        <v>723</v>
      </c>
      <c r="C196" s="61" t="s">
        <v>49</v>
      </c>
      <c r="D196" s="61" t="s">
        <v>610</v>
      </c>
      <c r="E196" s="56" t="s">
        <v>21</v>
      </c>
      <c r="F196" s="57" t="s">
        <v>51</v>
      </c>
      <c r="G196" s="60" t="s">
        <v>261</v>
      </c>
      <c r="H196" s="60"/>
      <c r="I196" s="60"/>
      <c r="J196" s="58" t="s">
        <v>612</v>
      </c>
      <c r="K196" s="58" t="s">
        <v>54</v>
      </c>
      <c r="L196" s="58" t="s">
        <v>288</v>
      </c>
      <c r="M196" s="60"/>
      <c r="N196" s="64"/>
      <c r="O196" s="60" t="s">
        <v>103</v>
      </c>
      <c r="P196" s="60" t="s">
        <v>262</v>
      </c>
      <c r="Q196" s="60" t="s">
        <v>82</v>
      </c>
      <c r="R196" s="60" t="s">
        <v>19</v>
      </c>
      <c r="S196" s="60"/>
      <c r="T196" s="60" t="s">
        <v>119</v>
      </c>
      <c r="U196" s="61" t="s">
        <v>61</v>
      </c>
    </row>
    <row r="197" spans="1:21" ht="27">
      <c r="A197" s="60" t="s">
        <v>724</v>
      </c>
      <c r="B197" s="60" t="s">
        <v>725</v>
      </c>
      <c r="C197" s="61" t="s">
        <v>49</v>
      </c>
      <c r="D197" s="61" t="s">
        <v>610</v>
      </c>
      <c r="E197" s="56" t="s">
        <v>21</v>
      </c>
      <c r="F197" s="57" t="s">
        <v>51</v>
      </c>
      <c r="G197" s="60" t="s">
        <v>265</v>
      </c>
      <c r="H197" s="60"/>
      <c r="I197" s="60"/>
      <c r="J197" s="58" t="s">
        <v>612</v>
      </c>
      <c r="K197" s="58" t="s">
        <v>54</v>
      </c>
      <c r="L197" s="58" t="s">
        <v>288</v>
      </c>
      <c r="M197" s="60"/>
      <c r="N197" s="64"/>
      <c r="O197" s="60" t="s">
        <v>166</v>
      </c>
      <c r="P197" s="60" t="s">
        <v>266</v>
      </c>
      <c r="Q197" s="60" t="s">
        <v>82</v>
      </c>
      <c r="R197" s="60" t="s">
        <v>21</v>
      </c>
      <c r="S197" s="60"/>
      <c r="T197" s="60" t="s">
        <v>119</v>
      </c>
      <c r="U197" s="61" t="s">
        <v>61</v>
      </c>
    </row>
    <row r="198" spans="1:21">
      <c r="A198" s="60" t="s">
        <v>726</v>
      </c>
      <c r="B198" s="60" t="s">
        <v>598</v>
      </c>
      <c r="C198" s="61" t="s">
        <v>49</v>
      </c>
      <c r="D198" s="61" t="s">
        <v>610</v>
      </c>
      <c r="E198" s="56" t="s">
        <v>21</v>
      </c>
      <c r="F198" s="57" t="s">
        <v>51</v>
      </c>
      <c r="G198" s="60" t="s">
        <v>269</v>
      </c>
      <c r="H198" s="60"/>
      <c r="I198" s="60"/>
      <c r="J198" s="58" t="s">
        <v>612</v>
      </c>
      <c r="K198" s="58" t="s">
        <v>54</v>
      </c>
      <c r="L198" s="58" t="s">
        <v>288</v>
      </c>
      <c r="M198" s="60"/>
      <c r="N198" s="64"/>
      <c r="O198" s="60" t="s">
        <v>117</v>
      </c>
      <c r="P198" s="60" t="s">
        <v>158</v>
      </c>
      <c r="Q198" s="60" t="s">
        <v>59</v>
      </c>
      <c r="R198" s="60" t="s">
        <v>21</v>
      </c>
      <c r="S198" s="60"/>
      <c r="T198" s="60" t="s">
        <v>60</v>
      </c>
      <c r="U198" s="61" t="s">
        <v>61</v>
      </c>
    </row>
    <row r="199" spans="1:21" ht="27">
      <c r="A199" s="60" t="s">
        <v>727</v>
      </c>
      <c r="B199" s="60" t="s">
        <v>600</v>
      </c>
      <c r="C199" s="61" t="s">
        <v>49</v>
      </c>
      <c r="D199" s="61" t="s">
        <v>610</v>
      </c>
      <c r="E199" s="56" t="s">
        <v>21</v>
      </c>
      <c r="F199" s="57" t="s">
        <v>51</v>
      </c>
      <c r="G199" s="60" t="s">
        <v>728</v>
      </c>
      <c r="H199" s="60"/>
      <c r="I199" s="60"/>
      <c r="J199" s="58" t="s">
        <v>612</v>
      </c>
      <c r="K199" s="58" t="s">
        <v>54</v>
      </c>
      <c r="L199" s="58" t="s">
        <v>288</v>
      </c>
      <c r="M199" s="60"/>
      <c r="N199" s="64"/>
      <c r="O199" s="60" t="s">
        <v>123</v>
      </c>
      <c r="P199" s="60" t="s">
        <v>273</v>
      </c>
      <c r="Q199" s="60" t="s">
        <v>82</v>
      </c>
      <c r="R199" s="60" t="s">
        <v>19</v>
      </c>
      <c r="S199" s="60"/>
      <c r="T199" s="60" t="s">
        <v>141</v>
      </c>
      <c r="U199" s="61" t="s">
        <v>61</v>
      </c>
    </row>
    <row r="200" spans="1:21" ht="27">
      <c r="A200" s="60" t="s">
        <v>729</v>
      </c>
      <c r="B200" s="60" t="s">
        <v>603</v>
      </c>
      <c r="C200" s="61" t="s">
        <v>49</v>
      </c>
      <c r="D200" s="61" t="s">
        <v>610</v>
      </c>
      <c r="E200" s="56" t="s">
        <v>21</v>
      </c>
      <c r="F200" s="57" t="s">
        <v>51</v>
      </c>
      <c r="G200" s="60" t="s">
        <v>604</v>
      </c>
      <c r="H200" s="60"/>
      <c r="I200" s="60"/>
      <c r="J200" s="58" t="s">
        <v>612</v>
      </c>
      <c r="K200" s="58" t="s">
        <v>54</v>
      </c>
      <c r="L200" s="58" t="s">
        <v>288</v>
      </c>
      <c r="M200" s="60"/>
      <c r="N200" s="64"/>
      <c r="O200" s="60" t="s">
        <v>113</v>
      </c>
      <c r="P200" s="60" t="s">
        <v>730</v>
      </c>
      <c r="Q200" s="60" t="s">
        <v>82</v>
      </c>
      <c r="R200" s="60" t="s">
        <v>21</v>
      </c>
      <c r="S200" s="60"/>
      <c r="T200" s="60" t="s">
        <v>141</v>
      </c>
      <c r="U200" s="61" t="s">
        <v>61</v>
      </c>
    </row>
    <row r="201" spans="1:21" ht="27">
      <c r="A201" s="60" t="s">
        <v>731</v>
      </c>
      <c r="B201" s="60" t="s">
        <v>732</v>
      </c>
      <c r="C201" s="61" t="s">
        <v>49</v>
      </c>
      <c r="D201" s="61" t="s">
        <v>610</v>
      </c>
      <c r="E201" s="56" t="s">
        <v>21</v>
      </c>
      <c r="F201" s="57" t="s">
        <v>51</v>
      </c>
      <c r="G201" s="60" t="s">
        <v>733</v>
      </c>
      <c r="H201" s="60"/>
      <c r="I201" s="60"/>
      <c r="J201" s="58" t="s">
        <v>612</v>
      </c>
      <c r="K201" s="58" t="s">
        <v>54</v>
      </c>
      <c r="L201" s="58" t="s">
        <v>288</v>
      </c>
      <c r="M201" s="60"/>
      <c r="N201" s="64"/>
      <c r="O201" s="60" t="s">
        <v>103</v>
      </c>
      <c r="P201" s="60" t="s">
        <v>734</v>
      </c>
      <c r="Q201" s="60" t="s">
        <v>82</v>
      </c>
      <c r="R201" s="60" t="s">
        <v>21</v>
      </c>
      <c r="S201" s="60"/>
      <c r="T201" s="60" t="s">
        <v>60</v>
      </c>
      <c r="U201" s="61" t="s">
        <v>61</v>
      </c>
    </row>
    <row r="202" spans="1:21" ht="81">
      <c r="A202" s="60" t="s">
        <v>735</v>
      </c>
      <c r="B202" s="60" t="s">
        <v>736</v>
      </c>
      <c r="C202" s="61" t="s">
        <v>49</v>
      </c>
      <c r="D202" s="61" t="s">
        <v>737</v>
      </c>
      <c r="E202" s="62" t="s">
        <v>19</v>
      </c>
      <c r="F202" s="57" t="s">
        <v>618</v>
      </c>
      <c r="G202" s="60" t="s">
        <v>738</v>
      </c>
      <c r="H202" s="60" t="s">
        <v>739</v>
      </c>
      <c r="I202" s="60"/>
      <c r="J202" s="58" t="s">
        <v>740</v>
      </c>
      <c r="K202" s="58" t="s">
        <v>54</v>
      </c>
      <c r="L202" s="58" t="s">
        <v>741</v>
      </c>
      <c r="M202" s="60"/>
      <c r="N202" s="65">
        <v>46162</v>
      </c>
      <c r="O202" s="60" t="s">
        <v>153</v>
      </c>
      <c r="P202" s="60"/>
      <c r="Q202" s="60" t="s">
        <v>82</v>
      </c>
      <c r="R202" s="60"/>
      <c r="S202" s="60" t="s">
        <v>742</v>
      </c>
      <c r="T202" s="60"/>
      <c r="U202" s="61" t="s">
        <v>743</v>
      </c>
    </row>
    <row r="203" spans="1:21" ht="67.5">
      <c r="A203" s="60" t="s">
        <v>744</v>
      </c>
      <c r="B203" s="60" t="s">
        <v>745</v>
      </c>
      <c r="C203" s="61" t="s">
        <v>49</v>
      </c>
      <c r="D203" s="61" t="s">
        <v>737</v>
      </c>
      <c r="E203" s="56" t="s">
        <v>18</v>
      </c>
      <c r="F203" s="57" t="s">
        <v>618</v>
      </c>
      <c r="G203" s="60" t="s">
        <v>746</v>
      </c>
      <c r="H203" s="60" t="s">
        <v>739</v>
      </c>
      <c r="I203" s="60"/>
      <c r="J203" s="58" t="s">
        <v>740</v>
      </c>
      <c r="K203" s="58" t="s">
        <v>54</v>
      </c>
      <c r="L203" s="58" t="s">
        <v>741</v>
      </c>
      <c r="M203" s="60"/>
      <c r="N203" s="65">
        <v>46162</v>
      </c>
      <c r="O203" s="60" t="s">
        <v>153</v>
      </c>
      <c r="P203" s="60"/>
      <c r="Q203" s="60" t="s">
        <v>82</v>
      </c>
      <c r="R203" s="60"/>
      <c r="S203" s="60" t="s">
        <v>735</v>
      </c>
      <c r="T203" s="60"/>
      <c r="U203" s="61" t="s">
        <v>61</v>
      </c>
    </row>
    <row r="204" spans="1:21" ht="67.5">
      <c r="A204" s="60" t="s">
        <v>747</v>
      </c>
      <c r="B204" s="60" t="s">
        <v>748</v>
      </c>
      <c r="C204" s="61" t="s">
        <v>49</v>
      </c>
      <c r="D204" s="61" t="s">
        <v>737</v>
      </c>
      <c r="E204" s="62" t="s">
        <v>19</v>
      </c>
      <c r="F204" s="57" t="s">
        <v>618</v>
      </c>
      <c r="G204" s="60" t="s">
        <v>749</v>
      </c>
      <c r="H204" s="60" t="s">
        <v>739</v>
      </c>
      <c r="I204" s="60"/>
      <c r="J204" s="58" t="s">
        <v>740</v>
      </c>
      <c r="K204" s="58" t="s">
        <v>54</v>
      </c>
      <c r="L204" s="58" t="s">
        <v>741</v>
      </c>
      <c r="M204" s="60"/>
      <c r="N204" s="65">
        <v>46162</v>
      </c>
      <c r="O204" s="60" t="s">
        <v>153</v>
      </c>
      <c r="P204" s="60"/>
      <c r="Q204" s="60" t="s">
        <v>89</v>
      </c>
      <c r="R204" s="60"/>
      <c r="S204" s="60" t="s">
        <v>735</v>
      </c>
      <c r="T204" s="60"/>
      <c r="U204" s="61" t="s">
        <v>61</v>
      </c>
    </row>
    <row r="205" spans="1:21" ht="81">
      <c r="A205" s="60" t="s">
        <v>750</v>
      </c>
      <c r="B205" s="60" t="s">
        <v>751</v>
      </c>
      <c r="C205" s="61" t="s">
        <v>49</v>
      </c>
      <c r="D205" s="61" t="s">
        <v>737</v>
      </c>
      <c r="E205" s="62" t="s">
        <v>19</v>
      </c>
      <c r="F205" s="57" t="s">
        <v>618</v>
      </c>
      <c r="G205" s="60" t="s">
        <v>752</v>
      </c>
      <c r="H205" s="60" t="s">
        <v>739</v>
      </c>
      <c r="I205" s="60"/>
      <c r="J205" s="58" t="s">
        <v>740</v>
      </c>
      <c r="K205" s="58" t="s">
        <v>54</v>
      </c>
      <c r="L205" s="58" t="s">
        <v>741</v>
      </c>
      <c r="M205" s="60"/>
      <c r="N205" s="65">
        <v>46162</v>
      </c>
      <c r="O205" s="60" t="s">
        <v>153</v>
      </c>
      <c r="P205" s="60"/>
      <c r="Q205" s="60" t="s">
        <v>89</v>
      </c>
      <c r="R205" s="60"/>
      <c r="S205" s="60" t="s">
        <v>735</v>
      </c>
      <c r="T205" s="60"/>
      <c r="U205" s="61" t="s">
        <v>61</v>
      </c>
    </row>
    <row r="206" spans="1:21" ht="67.5">
      <c r="A206" s="60" t="s">
        <v>753</v>
      </c>
      <c r="B206" s="60" t="s">
        <v>754</v>
      </c>
      <c r="C206" s="61" t="s">
        <v>49</v>
      </c>
      <c r="D206" s="61" t="s">
        <v>737</v>
      </c>
      <c r="E206" s="56" t="s">
        <v>21</v>
      </c>
      <c r="F206" s="57" t="s">
        <v>618</v>
      </c>
      <c r="G206" s="60" t="s">
        <v>755</v>
      </c>
      <c r="H206" s="60" t="s">
        <v>739</v>
      </c>
      <c r="I206" s="60"/>
      <c r="J206" s="58" t="s">
        <v>740</v>
      </c>
      <c r="K206" s="58" t="s">
        <v>54</v>
      </c>
      <c r="L206" s="58" t="s">
        <v>741</v>
      </c>
      <c r="M206" s="60"/>
      <c r="N206" s="65">
        <v>46162</v>
      </c>
      <c r="O206" s="60" t="s">
        <v>153</v>
      </c>
      <c r="P206" s="60"/>
      <c r="Q206" s="60" t="s">
        <v>89</v>
      </c>
      <c r="R206" s="60"/>
      <c r="S206" s="60" t="s">
        <v>735</v>
      </c>
      <c r="T206" s="60"/>
      <c r="U206" s="61" t="s">
        <v>61</v>
      </c>
    </row>
    <row r="207" spans="1:21" ht="54">
      <c r="A207" s="60" t="s">
        <v>756</v>
      </c>
      <c r="B207" s="60" t="s">
        <v>757</v>
      </c>
      <c r="C207" s="61" t="s">
        <v>49</v>
      </c>
      <c r="D207" s="61" t="s">
        <v>737</v>
      </c>
      <c r="E207" s="62" t="s">
        <v>19</v>
      </c>
      <c r="F207" s="57" t="s">
        <v>618</v>
      </c>
      <c r="G207" s="60" t="s">
        <v>758</v>
      </c>
      <c r="H207" s="60" t="s">
        <v>739</v>
      </c>
      <c r="I207" s="60"/>
      <c r="J207" s="58" t="s">
        <v>740</v>
      </c>
      <c r="K207" s="58" t="s">
        <v>54</v>
      </c>
      <c r="L207" s="58" t="s">
        <v>741</v>
      </c>
      <c r="M207" s="60"/>
      <c r="N207" s="65">
        <v>46162</v>
      </c>
      <c r="O207" s="60" t="s">
        <v>153</v>
      </c>
      <c r="P207" s="60"/>
      <c r="Q207" s="60" t="s">
        <v>89</v>
      </c>
      <c r="R207" s="60"/>
      <c r="S207" s="60" t="s">
        <v>735</v>
      </c>
      <c r="T207" s="60"/>
      <c r="U207" s="61" t="s">
        <v>61</v>
      </c>
    </row>
    <row r="208" spans="1:21" ht="54">
      <c r="A208" s="60" t="s">
        <v>759</v>
      </c>
      <c r="B208" s="60" t="s">
        <v>760</v>
      </c>
      <c r="C208" s="61" t="s">
        <v>49</v>
      </c>
      <c r="D208" s="61" t="s">
        <v>737</v>
      </c>
      <c r="E208" s="62" t="s">
        <v>19</v>
      </c>
      <c r="F208" s="57" t="s">
        <v>618</v>
      </c>
      <c r="G208" s="60" t="s">
        <v>761</v>
      </c>
      <c r="H208" s="60" t="s">
        <v>739</v>
      </c>
      <c r="I208" s="60"/>
      <c r="J208" s="58" t="s">
        <v>740</v>
      </c>
      <c r="K208" s="58" t="s">
        <v>54</v>
      </c>
      <c r="L208" s="58" t="s">
        <v>741</v>
      </c>
      <c r="M208" s="60"/>
      <c r="N208" s="65">
        <v>46162</v>
      </c>
      <c r="O208" s="60" t="s">
        <v>153</v>
      </c>
      <c r="P208" s="60"/>
      <c r="Q208" s="60" t="s">
        <v>89</v>
      </c>
      <c r="R208" s="60"/>
      <c r="S208" s="60" t="s">
        <v>735</v>
      </c>
      <c r="T208" s="60"/>
      <c r="U208" s="61" t="s">
        <v>61</v>
      </c>
    </row>
    <row r="209" spans="1:21" ht="54">
      <c r="A209" s="60" t="s">
        <v>762</v>
      </c>
      <c r="B209" s="60" t="s">
        <v>763</v>
      </c>
      <c r="C209" s="61" t="s">
        <v>49</v>
      </c>
      <c r="D209" s="61" t="s">
        <v>737</v>
      </c>
      <c r="E209" s="62" t="s">
        <v>19</v>
      </c>
      <c r="F209" s="57" t="s">
        <v>618</v>
      </c>
      <c r="G209" s="60" t="s">
        <v>764</v>
      </c>
      <c r="H209" s="60" t="s">
        <v>739</v>
      </c>
      <c r="I209" s="60"/>
      <c r="J209" s="58" t="s">
        <v>740</v>
      </c>
      <c r="K209" s="58" t="s">
        <v>54</v>
      </c>
      <c r="L209" s="58" t="s">
        <v>741</v>
      </c>
      <c r="M209" s="60"/>
      <c r="N209" s="65">
        <v>46162</v>
      </c>
      <c r="O209" s="60" t="s">
        <v>153</v>
      </c>
      <c r="P209" s="60"/>
      <c r="Q209" s="60" t="s">
        <v>89</v>
      </c>
      <c r="R209" s="60"/>
      <c r="S209" s="60" t="s">
        <v>744</v>
      </c>
      <c r="T209" s="60"/>
      <c r="U209" s="61" t="s">
        <v>61</v>
      </c>
    </row>
    <row r="210" spans="1:21" ht="54">
      <c r="A210" s="60" t="s">
        <v>765</v>
      </c>
      <c r="B210" s="60" t="s">
        <v>766</v>
      </c>
      <c r="C210" s="61" t="s">
        <v>49</v>
      </c>
      <c r="D210" s="61" t="s">
        <v>737</v>
      </c>
      <c r="E210" s="62" t="s">
        <v>19</v>
      </c>
      <c r="F210" s="57" t="s">
        <v>618</v>
      </c>
      <c r="G210" s="60" t="s">
        <v>767</v>
      </c>
      <c r="H210" s="60" t="s">
        <v>739</v>
      </c>
      <c r="I210" s="60"/>
      <c r="J210" s="58" t="s">
        <v>740</v>
      </c>
      <c r="K210" s="58" t="s">
        <v>54</v>
      </c>
      <c r="L210" s="58" t="s">
        <v>741</v>
      </c>
      <c r="M210" s="60"/>
      <c r="N210" s="65">
        <v>46162</v>
      </c>
      <c r="O210" s="60" t="s">
        <v>153</v>
      </c>
      <c r="P210" s="60"/>
      <c r="Q210" s="60" t="s">
        <v>82</v>
      </c>
      <c r="R210" s="60"/>
      <c r="S210" s="60" t="s">
        <v>744</v>
      </c>
      <c r="T210" s="60"/>
      <c r="U210" s="61" t="s">
        <v>768</v>
      </c>
    </row>
    <row r="211" spans="1:21" ht="54">
      <c r="A211" s="60" t="s">
        <v>769</v>
      </c>
      <c r="B211" s="60" t="s">
        <v>770</v>
      </c>
      <c r="C211" s="61" t="s">
        <v>49</v>
      </c>
      <c r="D211" s="61" t="s">
        <v>737</v>
      </c>
      <c r="E211" s="62" t="s">
        <v>19</v>
      </c>
      <c r="F211" s="57" t="s">
        <v>618</v>
      </c>
      <c r="G211" s="60" t="s">
        <v>771</v>
      </c>
      <c r="H211" s="60" t="s">
        <v>739</v>
      </c>
      <c r="I211" s="60"/>
      <c r="J211" s="58" t="s">
        <v>740</v>
      </c>
      <c r="K211" s="58" t="s">
        <v>54</v>
      </c>
      <c r="L211" s="58" t="s">
        <v>741</v>
      </c>
      <c r="M211" s="60"/>
      <c r="N211" s="65">
        <v>46162</v>
      </c>
      <c r="O211" s="60" t="s">
        <v>153</v>
      </c>
      <c r="P211" s="60"/>
      <c r="Q211" s="60" t="s">
        <v>82</v>
      </c>
      <c r="R211" s="60"/>
      <c r="S211" s="60" t="s">
        <v>765</v>
      </c>
      <c r="T211" s="60"/>
      <c r="U211" s="61" t="s">
        <v>768</v>
      </c>
    </row>
    <row r="212" spans="1:21" ht="67.5">
      <c r="A212" s="60" t="s">
        <v>772</v>
      </c>
      <c r="B212" s="60" t="s">
        <v>773</v>
      </c>
      <c r="C212" s="61" t="s">
        <v>49</v>
      </c>
      <c r="D212" s="61" t="s">
        <v>737</v>
      </c>
      <c r="E212" s="62" t="s">
        <v>19</v>
      </c>
      <c r="F212" s="57" t="s">
        <v>618</v>
      </c>
      <c r="G212" s="60" t="s">
        <v>774</v>
      </c>
      <c r="H212" s="60" t="s">
        <v>739</v>
      </c>
      <c r="I212" s="60"/>
      <c r="J212" s="58" t="s">
        <v>740</v>
      </c>
      <c r="K212" s="58" t="s">
        <v>54</v>
      </c>
      <c r="L212" s="58" t="s">
        <v>741</v>
      </c>
      <c r="M212" s="60"/>
      <c r="N212" s="65">
        <v>46162</v>
      </c>
      <c r="O212" s="60" t="s">
        <v>153</v>
      </c>
      <c r="P212" s="60"/>
      <c r="Q212" s="60" t="s">
        <v>82</v>
      </c>
      <c r="R212" s="60"/>
      <c r="S212" s="60" t="s">
        <v>765</v>
      </c>
      <c r="T212" s="60"/>
      <c r="U212" s="61" t="s">
        <v>768</v>
      </c>
    </row>
    <row r="213" spans="1:21" ht="67.5">
      <c r="A213" s="60" t="s">
        <v>775</v>
      </c>
      <c r="B213" s="60" t="s">
        <v>776</v>
      </c>
      <c r="C213" s="61" t="s">
        <v>49</v>
      </c>
      <c r="D213" s="61" t="s">
        <v>737</v>
      </c>
      <c r="E213" s="62" t="s">
        <v>19</v>
      </c>
      <c r="F213" s="57" t="s">
        <v>618</v>
      </c>
      <c r="G213" s="60" t="s">
        <v>777</v>
      </c>
      <c r="H213" s="60" t="s">
        <v>739</v>
      </c>
      <c r="I213" s="60"/>
      <c r="J213" s="58" t="s">
        <v>740</v>
      </c>
      <c r="K213" s="58" t="s">
        <v>54</v>
      </c>
      <c r="L213" s="58" t="s">
        <v>741</v>
      </c>
      <c r="M213" s="60"/>
      <c r="N213" s="65">
        <v>46162</v>
      </c>
      <c r="O213" s="60" t="s">
        <v>153</v>
      </c>
      <c r="P213" s="60"/>
      <c r="Q213" s="60" t="s">
        <v>82</v>
      </c>
      <c r="R213" s="60"/>
      <c r="S213" s="60" t="s">
        <v>735</v>
      </c>
      <c r="T213" s="60"/>
      <c r="U213" s="61" t="s">
        <v>743</v>
      </c>
    </row>
    <row r="214" spans="1:21" ht="67.5">
      <c r="A214" s="60" t="s">
        <v>778</v>
      </c>
      <c r="B214" s="60" t="s">
        <v>779</v>
      </c>
      <c r="C214" s="61" t="s">
        <v>49</v>
      </c>
      <c r="D214" s="61" t="s">
        <v>737</v>
      </c>
      <c r="E214" s="62" t="s">
        <v>19</v>
      </c>
      <c r="F214" s="57" t="s">
        <v>618</v>
      </c>
      <c r="G214" s="60" t="s">
        <v>780</v>
      </c>
      <c r="H214" s="60" t="s">
        <v>739</v>
      </c>
      <c r="I214" s="60"/>
      <c r="J214" s="58" t="s">
        <v>740</v>
      </c>
      <c r="K214" s="58" t="s">
        <v>54</v>
      </c>
      <c r="L214" s="58" t="s">
        <v>741</v>
      </c>
      <c r="M214" s="60"/>
      <c r="N214" s="65">
        <v>46162</v>
      </c>
      <c r="O214" s="60" t="s">
        <v>153</v>
      </c>
      <c r="P214" s="60"/>
      <c r="Q214" s="60" t="s">
        <v>89</v>
      </c>
      <c r="R214" s="60"/>
      <c r="S214" s="60" t="s">
        <v>744</v>
      </c>
      <c r="T214" s="60"/>
      <c r="U214" s="61" t="s">
        <v>61</v>
      </c>
    </row>
    <row r="215" spans="1:21" ht="81">
      <c r="A215" s="60" t="s">
        <v>781</v>
      </c>
      <c r="B215" s="60" t="s">
        <v>782</v>
      </c>
      <c r="C215" s="61" t="s">
        <v>49</v>
      </c>
      <c r="D215" s="61" t="s">
        <v>737</v>
      </c>
      <c r="E215" s="56" t="s">
        <v>18</v>
      </c>
      <c r="F215" s="57" t="s">
        <v>618</v>
      </c>
      <c r="G215" s="60" t="s">
        <v>783</v>
      </c>
      <c r="H215" s="60" t="s">
        <v>739</v>
      </c>
      <c r="I215" s="60"/>
      <c r="J215" s="58" t="s">
        <v>740</v>
      </c>
      <c r="K215" s="58" t="s">
        <v>54</v>
      </c>
      <c r="L215" s="58" t="s">
        <v>741</v>
      </c>
      <c r="M215" s="60"/>
      <c r="N215" s="65">
        <v>46163</v>
      </c>
      <c r="O215" s="60" t="s">
        <v>153</v>
      </c>
      <c r="P215" s="60"/>
      <c r="Q215" s="60" t="s">
        <v>82</v>
      </c>
      <c r="R215" s="60"/>
      <c r="S215" s="60" t="s">
        <v>744</v>
      </c>
      <c r="T215" s="60"/>
      <c r="U215" s="61" t="s">
        <v>743</v>
      </c>
    </row>
    <row r="216" spans="1:21" ht="54">
      <c r="A216" s="60" t="s">
        <v>784</v>
      </c>
      <c r="B216" s="60" t="s">
        <v>785</v>
      </c>
      <c r="C216" s="61" t="s">
        <v>49</v>
      </c>
      <c r="D216" s="61" t="s">
        <v>737</v>
      </c>
      <c r="E216" s="62" t="s">
        <v>19</v>
      </c>
      <c r="F216" s="57" t="s">
        <v>618</v>
      </c>
      <c r="G216" s="60" t="s">
        <v>786</v>
      </c>
      <c r="H216" s="60" t="s">
        <v>739</v>
      </c>
      <c r="I216" s="60"/>
      <c r="J216" s="58" t="s">
        <v>740</v>
      </c>
      <c r="K216" s="58" t="s">
        <v>54</v>
      </c>
      <c r="L216" s="58" t="s">
        <v>741</v>
      </c>
      <c r="M216" s="60"/>
      <c r="N216" s="65">
        <v>46164</v>
      </c>
      <c r="O216" s="60" t="s">
        <v>153</v>
      </c>
      <c r="P216" s="60"/>
      <c r="Q216" s="60" t="s">
        <v>82</v>
      </c>
      <c r="R216" s="60"/>
      <c r="S216" s="60" t="s">
        <v>744</v>
      </c>
      <c r="T216" s="60"/>
      <c r="U216" s="61" t="s">
        <v>743</v>
      </c>
    </row>
    <row r="217" spans="1:21" ht="67.5">
      <c r="A217" s="60" t="s">
        <v>787</v>
      </c>
      <c r="B217" s="60" t="s">
        <v>788</v>
      </c>
      <c r="C217" s="61" t="s">
        <v>49</v>
      </c>
      <c r="D217" s="61" t="s">
        <v>737</v>
      </c>
      <c r="E217" s="62" t="s">
        <v>19</v>
      </c>
      <c r="F217" s="57" t="s">
        <v>618</v>
      </c>
      <c r="G217" s="60" t="s">
        <v>789</v>
      </c>
      <c r="H217" s="60" t="s">
        <v>739</v>
      </c>
      <c r="I217" s="60"/>
      <c r="J217" s="58" t="s">
        <v>740</v>
      </c>
      <c r="K217" s="58" t="s">
        <v>54</v>
      </c>
      <c r="L217" s="58" t="s">
        <v>741</v>
      </c>
      <c r="M217" s="60"/>
      <c r="N217" s="65">
        <v>46164</v>
      </c>
      <c r="O217" s="60" t="s">
        <v>153</v>
      </c>
      <c r="P217" s="60"/>
      <c r="Q217" s="60" t="s">
        <v>82</v>
      </c>
      <c r="R217" s="60"/>
      <c r="S217" s="60" t="s">
        <v>790</v>
      </c>
      <c r="T217" s="60"/>
      <c r="U217" s="61" t="s">
        <v>743</v>
      </c>
    </row>
    <row r="218" spans="1:21" ht="81">
      <c r="A218" s="60" t="s">
        <v>790</v>
      </c>
      <c r="B218" s="60" t="s">
        <v>791</v>
      </c>
      <c r="C218" s="61" t="s">
        <v>49</v>
      </c>
      <c r="D218" s="61" t="s">
        <v>737</v>
      </c>
      <c r="E218" s="62" t="s">
        <v>19</v>
      </c>
      <c r="F218" s="57" t="s">
        <v>618</v>
      </c>
      <c r="G218" s="60" t="s">
        <v>792</v>
      </c>
      <c r="H218" s="60" t="s">
        <v>739</v>
      </c>
      <c r="I218" s="60"/>
      <c r="J218" s="58" t="s">
        <v>740</v>
      </c>
      <c r="K218" s="58" t="s">
        <v>54</v>
      </c>
      <c r="L218" s="58" t="s">
        <v>741</v>
      </c>
      <c r="M218" s="60"/>
      <c r="N218" s="65">
        <v>46164</v>
      </c>
      <c r="O218" s="60" t="s">
        <v>153</v>
      </c>
      <c r="P218" s="60"/>
      <c r="Q218" s="60" t="s">
        <v>82</v>
      </c>
      <c r="R218" s="60"/>
      <c r="S218" s="60" t="s">
        <v>787</v>
      </c>
      <c r="T218" s="60"/>
      <c r="U218" s="61" t="s">
        <v>743</v>
      </c>
    </row>
    <row r="219" spans="1:21" ht="54">
      <c r="A219" s="60" t="s">
        <v>793</v>
      </c>
      <c r="B219" s="60" t="s">
        <v>794</v>
      </c>
      <c r="C219" s="61" t="s">
        <v>49</v>
      </c>
      <c r="D219" s="61" t="s">
        <v>737</v>
      </c>
      <c r="E219" s="62" t="s">
        <v>19</v>
      </c>
      <c r="F219" s="57" t="s">
        <v>618</v>
      </c>
      <c r="G219" s="60" t="s">
        <v>795</v>
      </c>
      <c r="H219" s="60" t="s">
        <v>739</v>
      </c>
      <c r="I219" s="60"/>
      <c r="J219" s="58" t="s">
        <v>740</v>
      </c>
      <c r="K219" s="58" t="s">
        <v>54</v>
      </c>
      <c r="L219" s="58" t="s">
        <v>741</v>
      </c>
      <c r="M219" s="60"/>
      <c r="N219" s="65">
        <v>46164</v>
      </c>
      <c r="O219" s="60" t="s">
        <v>153</v>
      </c>
      <c r="P219" s="60"/>
      <c r="Q219" s="60" t="s">
        <v>89</v>
      </c>
      <c r="R219" s="60"/>
      <c r="S219" s="60" t="s">
        <v>735</v>
      </c>
      <c r="T219" s="60"/>
      <c r="U219" s="61" t="s">
        <v>61</v>
      </c>
    </row>
    <row r="220" spans="1:21" ht="67.5">
      <c r="A220" s="60" t="s">
        <v>796</v>
      </c>
      <c r="B220" s="60" t="s">
        <v>797</v>
      </c>
      <c r="C220" s="61" t="s">
        <v>49</v>
      </c>
      <c r="D220" s="61" t="s">
        <v>737</v>
      </c>
      <c r="E220" s="56" t="s">
        <v>18</v>
      </c>
      <c r="F220" s="57" t="s">
        <v>618</v>
      </c>
      <c r="G220" s="60" t="s">
        <v>798</v>
      </c>
      <c r="H220" s="60" t="s">
        <v>739</v>
      </c>
      <c r="I220" s="60"/>
      <c r="J220" s="58" t="s">
        <v>740</v>
      </c>
      <c r="K220" s="58" t="s">
        <v>54</v>
      </c>
      <c r="L220" s="58" t="s">
        <v>741</v>
      </c>
      <c r="M220" s="60"/>
      <c r="N220" s="65">
        <v>46164</v>
      </c>
      <c r="O220" s="60" t="s">
        <v>153</v>
      </c>
      <c r="P220" s="60"/>
      <c r="Q220" s="60" t="s">
        <v>82</v>
      </c>
      <c r="R220" s="60"/>
      <c r="S220" s="60" t="s">
        <v>799</v>
      </c>
      <c r="T220" s="60"/>
      <c r="U220" s="61" t="s">
        <v>61</v>
      </c>
    </row>
    <row r="221" spans="1:21" ht="67.5">
      <c r="A221" s="60" t="s">
        <v>799</v>
      </c>
      <c r="B221" s="60" t="s">
        <v>800</v>
      </c>
      <c r="C221" s="61" t="s">
        <v>49</v>
      </c>
      <c r="D221" s="61" t="s">
        <v>737</v>
      </c>
      <c r="E221" s="62" t="s">
        <v>19</v>
      </c>
      <c r="F221" s="57" t="s">
        <v>618</v>
      </c>
      <c r="G221" s="60" t="s">
        <v>801</v>
      </c>
      <c r="H221" s="60" t="s">
        <v>739</v>
      </c>
      <c r="I221" s="60"/>
      <c r="J221" s="58" t="s">
        <v>740</v>
      </c>
      <c r="K221" s="58" t="s">
        <v>54</v>
      </c>
      <c r="L221" s="58" t="s">
        <v>741</v>
      </c>
      <c r="M221" s="60"/>
      <c r="N221" s="65">
        <v>46164</v>
      </c>
      <c r="O221" s="60" t="s">
        <v>153</v>
      </c>
      <c r="P221" s="60"/>
      <c r="Q221" s="60" t="s">
        <v>89</v>
      </c>
      <c r="R221" s="60"/>
      <c r="S221" s="60" t="s">
        <v>799</v>
      </c>
      <c r="T221" s="60"/>
      <c r="U221" s="61" t="s">
        <v>768</v>
      </c>
    </row>
    <row r="222" spans="1:21" ht="67.5">
      <c r="A222" s="60" t="s">
        <v>802</v>
      </c>
      <c r="B222" s="60" t="s">
        <v>803</v>
      </c>
      <c r="C222" s="61" t="s">
        <v>49</v>
      </c>
      <c r="D222" s="61" t="s">
        <v>737</v>
      </c>
      <c r="E222" s="62" t="s">
        <v>19</v>
      </c>
      <c r="F222" s="57" t="s">
        <v>618</v>
      </c>
      <c r="G222" s="60" t="s">
        <v>804</v>
      </c>
      <c r="H222" s="60" t="s">
        <v>739</v>
      </c>
      <c r="I222" s="60"/>
      <c r="J222" s="58" t="s">
        <v>740</v>
      </c>
      <c r="K222" s="58" t="s">
        <v>54</v>
      </c>
      <c r="L222" s="58" t="s">
        <v>741</v>
      </c>
      <c r="M222" s="60"/>
      <c r="N222" s="65">
        <v>46167</v>
      </c>
      <c r="O222" s="60" t="s">
        <v>153</v>
      </c>
      <c r="P222" s="60"/>
      <c r="Q222" s="60" t="s">
        <v>89</v>
      </c>
      <c r="R222" s="60"/>
      <c r="S222" s="60" t="s">
        <v>799</v>
      </c>
      <c r="T222" s="60"/>
      <c r="U222" s="61" t="s">
        <v>61</v>
      </c>
    </row>
    <row r="223" spans="1:21" ht="40.5">
      <c r="A223" s="60" t="s">
        <v>805</v>
      </c>
      <c r="B223" s="60" t="s">
        <v>806</v>
      </c>
      <c r="C223" s="61" t="s">
        <v>49</v>
      </c>
      <c r="D223" s="61" t="s">
        <v>737</v>
      </c>
      <c r="E223" s="62" t="s">
        <v>19</v>
      </c>
      <c r="F223" s="57" t="s">
        <v>618</v>
      </c>
      <c r="G223" s="60" t="s">
        <v>807</v>
      </c>
      <c r="H223" s="60" t="s">
        <v>739</v>
      </c>
      <c r="I223" s="60"/>
      <c r="J223" s="58" t="s">
        <v>740</v>
      </c>
      <c r="K223" s="58" t="s">
        <v>54</v>
      </c>
      <c r="L223" s="58" t="s">
        <v>741</v>
      </c>
      <c r="M223" s="60"/>
      <c r="N223" s="65">
        <v>46167</v>
      </c>
      <c r="O223" s="60" t="s">
        <v>153</v>
      </c>
      <c r="P223" s="60"/>
      <c r="Q223" s="60" t="s">
        <v>89</v>
      </c>
      <c r="R223" s="60"/>
      <c r="S223" s="60" t="s">
        <v>799</v>
      </c>
      <c r="T223" s="60"/>
      <c r="U223" s="61" t="s">
        <v>61</v>
      </c>
    </row>
    <row r="224" spans="1:21" ht="40.5">
      <c r="A224" s="60" t="s">
        <v>808</v>
      </c>
      <c r="B224" s="60" t="s">
        <v>809</v>
      </c>
      <c r="C224" s="61" t="s">
        <v>49</v>
      </c>
      <c r="D224" s="61" t="s">
        <v>737</v>
      </c>
      <c r="E224" s="62" t="s">
        <v>19</v>
      </c>
      <c r="F224" s="57" t="s">
        <v>618</v>
      </c>
      <c r="G224" s="60" t="s">
        <v>810</v>
      </c>
      <c r="H224" s="60" t="s">
        <v>739</v>
      </c>
      <c r="I224" s="60"/>
      <c r="J224" s="58" t="s">
        <v>740</v>
      </c>
      <c r="K224" s="58" t="s">
        <v>54</v>
      </c>
      <c r="L224" s="58" t="s">
        <v>741</v>
      </c>
      <c r="M224" s="60"/>
      <c r="N224" s="65">
        <v>46167</v>
      </c>
      <c r="O224" s="60" t="s">
        <v>153</v>
      </c>
      <c r="P224" s="60"/>
      <c r="Q224" s="60" t="s">
        <v>89</v>
      </c>
      <c r="R224" s="60"/>
      <c r="S224" s="60" t="s">
        <v>799</v>
      </c>
      <c r="T224" s="60"/>
      <c r="U224" s="61" t="s">
        <v>61</v>
      </c>
    </row>
    <row r="225" spans="1:21" ht="54">
      <c r="A225" s="60" t="s">
        <v>811</v>
      </c>
      <c r="B225" s="60" t="s">
        <v>812</v>
      </c>
      <c r="C225" s="61" t="s">
        <v>49</v>
      </c>
      <c r="D225" s="61" t="s">
        <v>737</v>
      </c>
      <c r="E225" s="56" t="s">
        <v>18</v>
      </c>
      <c r="F225" s="57" t="s">
        <v>618</v>
      </c>
      <c r="G225" s="60" t="s">
        <v>813</v>
      </c>
      <c r="H225" s="60" t="s">
        <v>739</v>
      </c>
      <c r="I225" s="60"/>
      <c r="J225" s="58" t="s">
        <v>740</v>
      </c>
      <c r="K225" s="58" t="s">
        <v>54</v>
      </c>
      <c r="L225" s="58" t="s">
        <v>741</v>
      </c>
      <c r="M225" s="60"/>
      <c r="N225" s="65">
        <v>46167</v>
      </c>
      <c r="O225" s="60" t="s">
        <v>153</v>
      </c>
      <c r="P225" s="60"/>
      <c r="Q225" s="60" t="s">
        <v>82</v>
      </c>
      <c r="R225" s="60"/>
      <c r="S225" s="60" t="s">
        <v>799</v>
      </c>
      <c r="T225" s="60"/>
      <c r="U225" s="61" t="s">
        <v>768</v>
      </c>
    </row>
    <row r="226" spans="1:21" ht="54">
      <c r="A226" s="60" t="s">
        <v>814</v>
      </c>
      <c r="B226" s="60" t="s">
        <v>815</v>
      </c>
      <c r="C226" s="61" t="s">
        <v>49</v>
      </c>
      <c r="D226" s="61" t="s">
        <v>737</v>
      </c>
      <c r="E226" s="56" t="s">
        <v>18</v>
      </c>
      <c r="F226" s="57" t="s">
        <v>618</v>
      </c>
      <c r="G226" s="60" t="s">
        <v>816</v>
      </c>
      <c r="H226" s="60" t="s">
        <v>739</v>
      </c>
      <c r="I226" s="60"/>
      <c r="J226" s="58" t="s">
        <v>740</v>
      </c>
      <c r="K226" s="58" t="s">
        <v>54</v>
      </c>
      <c r="L226" s="58" t="s">
        <v>741</v>
      </c>
      <c r="M226" s="60"/>
      <c r="N226" s="65">
        <v>46167</v>
      </c>
      <c r="O226" s="60" t="s">
        <v>153</v>
      </c>
      <c r="P226" s="60"/>
      <c r="Q226" s="60" t="s">
        <v>82</v>
      </c>
      <c r="R226" s="60"/>
      <c r="S226" s="60" t="s">
        <v>799</v>
      </c>
      <c r="T226" s="60"/>
      <c r="U226" s="61" t="s">
        <v>768</v>
      </c>
    </row>
    <row r="227" spans="1:21" ht="67.5">
      <c r="A227" s="60" t="s">
        <v>817</v>
      </c>
      <c r="B227" s="60" t="s">
        <v>818</v>
      </c>
      <c r="C227" s="61" t="s">
        <v>49</v>
      </c>
      <c r="D227" s="61" t="s">
        <v>737</v>
      </c>
      <c r="E227" s="62" t="s">
        <v>19</v>
      </c>
      <c r="F227" s="57" t="s">
        <v>618</v>
      </c>
      <c r="G227" s="60" t="s">
        <v>819</v>
      </c>
      <c r="H227" s="60" t="s">
        <v>739</v>
      </c>
      <c r="I227" s="60"/>
      <c r="J227" s="58" t="s">
        <v>740</v>
      </c>
      <c r="K227" s="58" t="s">
        <v>54</v>
      </c>
      <c r="L227" s="58" t="s">
        <v>741</v>
      </c>
      <c r="M227" s="60"/>
      <c r="N227" s="65">
        <v>46167</v>
      </c>
      <c r="O227" s="60" t="s">
        <v>153</v>
      </c>
      <c r="P227" s="60"/>
      <c r="Q227" s="60" t="s">
        <v>89</v>
      </c>
      <c r="R227" s="60"/>
      <c r="S227" s="60" t="s">
        <v>802</v>
      </c>
      <c r="T227" s="60"/>
      <c r="U227" s="61" t="s">
        <v>61</v>
      </c>
    </row>
    <row r="228" spans="1:21" ht="67.5">
      <c r="A228" s="60" t="s">
        <v>820</v>
      </c>
      <c r="B228" s="60" t="s">
        <v>821</v>
      </c>
      <c r="C228" s="61" t="s">
        <v>49</v>
      </c>
      <c r="D228" s="61" t="s">
        <v>737</v>
      </c>
      <c r="E228" s="56" t="s">
        <v>21</v>
      </c>
      <c r="F228" s="57" t="s">
        <v>618</v>
      </c>
      <c r="G228" s="60" t="s">
        <v>822</v>
      </c>
      <c r="H228" s="60" t="s">
        <v>739</v>
      </c>
      <c r="I228" s="60"/>
      <c r="J228" s="58" t="s">
        <v>740</v>
      </c>
      <c r="K228" s="58" t="s">
        <v>54</v>
      </c>
      <c r="L228" s="58" t="s">
        <v>741</v>
      </c>
      <c r="M228" s="60"/>
      <c r="N228" s="65">
        <v>46167</v>
      </c>
      <c r="O228" s="60" t="s">
        <v>153</v>
      </c>
      <c r="P228" s="60"/>
      <c r="Q228" s="60" t="s">
        <v>89</v>
      </c>
      <c r="R228" s="60"/>
      <c r="S228" s="60" t="s">
        <v>799</v>
      </c>
      <c r="T228" s="60"/>
      <c r="U228" s="61" t="s">
        <v>61</v>
      </c>
    </row>
    <row r="229" spans="1:21" ht="67.5">
      <c r="A229" s="60" t="s">
        <v>823</v>
      </c>
      <c r="B229" s="60" t="s">
        <v>824</v>
      </c>
      <c r="C229" s="61" t="s">
        <v>49</v>
      </c>
      <c r="D229" s="61" t="s">
        <v>737</v>
      </c>
      <c r="E229" s="56" t="s">
        <v>21</v>
      </c>
      <c r="F229" s="57" t="s">
        <v>618</v>
      </c>
      <c r="G229" s="60" t="s">
        <v>825</v>
      </c>
      <c r="H229" s="60" t="s">
        <v>739</v>
      </c>
      <c r="I229" s="60"/>
      <c r="J229" s="58" t="s">
        <v>740</v>
      </c>
      <c r="K229" s="58" t="s">
        <v>54</v>
      </c>
      <c r="L229" s="58" t="s">
        <v>741</v>
      </c>
      <c r="M229" s="60"/>
      <c r="N229" s="65">
        <v>46167</v>
      </c>
      <c r="O229" s="60" t="s">
        <v>153</v>
      </c>
      <c r="P229" s="60"/>
      <c r="Q229" s="60" t="s">
        <v>89</v>
      </c>
      <c r="R229" s="60"/>
      <c r="S229" s="60" t="s">
        <v>799</v>
      </c>
      <c r="T229" s="60"/>
      <c r="U229" s="61" t="s">
        <v>61</v>
      </c>
    </row>
    <row r="230" spans="1:21" ht="67.5">
      <c r="A230" s="60" t="s">
        <v>826</v>
      </c>
      <c r="B230" s="60" t="s">
        <v>827</v>
      </c>
      <c r="C230" s="61" t="s">
        <v>49</v>
      </c>
      <c r="D230" s="61" t="s">
        <v>737</v>
      </c>
      <c r="E230" s="62" t="s">
        <v>19</v>
      </c>
      <c r="F230" s="57" t="s">
        <v>618</v>
      </c>
      <c r="G230" s="60" t="s">
        <v>828</v>
      </c>
      <c r="H230" s="60" t="s">
        <v>739</v>
      </c>
      <c r="I230" s="60"/>
      <c r="J230" s="58" t="s">
        <v>740</v>
      </c>
      <c r="K230" s="58" t="s">
        <v>54</v>
      </c>
      <c r="L230" s="58" t="s">
        <v>741</v>
      </c>
      <c r="M230" s="60"/>
      <c r="N230" s="65">
        <v>46167</v>
      </c>
      <c r="O230" s="60" t="s">
        <v>153</v>
      </c>
      <c r="P230" s="60"/>
      <c r="Q230" s="60" t="s">
        <v>89</v>
      </c>
      <c r="R230" s="60"/>
      <c r="S230" s="60" t="s">
        <v>744</v>
      </c>
      <c r="T230" s="60"/>
      <c r="U230" s="61" t="s">
        <v>61</v>
      </c>
    </row>
    <row r="231" spans="1:21" ht="67.5">
      <c r="A231" s="60" t="s">
        <v>829</v>
      </c>
      <c r="B231" s="60" t="s">
        <v>830</v>
      </c>
      <c r="C231" s="61" t="s">
        <v>49</v>
      </c>
      <c r="D231" s="61" t="s">
        <v>737</v>
      </c>
      <c r="E231" s="62" t="s">
        <v>19</v>
      </c>
      <c r="F231" s="57" t="s">
        <v>618</v>
      </c>
      <c r="G231" s="60" t="s">
        <v>831</v>
      </c>
      <c r="H231" s="60" t="s">
        <v>739</v>
      </c>
      <c r="I231" s="60"/>
      <c r="J231" s="58" t="s">
        <v>740</v>
      </c>
      <c r="K231" s="58" t="s">
        <v>54</v>
      </c>
      <c r="L231" s="58" t="s">
        <v>741</v>
      </c>
      <c r="M231" s="60"/>
      <c r="N231" s="65">
        <v>46167</v>
      </c>
      <c r="O231" s="60" t="s">
        <v>153</v>
      </c>
      <c r="P231" s="60"/>
      <c r="Q231" s="60" t="s">
        <v>89</v>
      </c>
      <c r="R231" s="60"/>
      <c r="S231" s="60" t="s">
        <v>832</v>
      </c>
      <c r="T231" s="60"/>
      <c r="U231" s="61" t="s">
        <v>61</v>
      </c>
    </row>
    <row r="232" spans="1:21" ht="54">
      <c r="A232" s="60" t="s">
        <v>832</v>
      </c>
      <c r="B232" s="60" t="s">
        <v>833</v>
      </c>
      <c r="C232" s="61" t="s">
        <v>49</v>
      </c>
      <c r="D232" s="61" t="s">
        <v>737</v>
      </c>
      <c r="E232" s="56" t="s">
        <v>21</v>
      </c>
      <c r="F232" s="57" t="s">
        <v>618</v>
      </c>
      <c r="G232" s="60" t="s">
        <v>834</v>
      </c>
      <c r="H232" s="60" t="s">
        <v>739</v>
      </c>
      <c r="I232" s="60"/>
      <c r="J232" s="58" t="s">
        <v>740</v>
      </c>
      <c r="K232" s="58" t="s">
        <v>54</v>
      </c>
      <c r="L232" s="58" t="s">
        <v>741</v>
      </c>
      <c r="M232" s="60"/>
      <c r="N232" s="65">
        <v>46167</v>
      </c>
      <c r="O232" s="60" t="s">
        <v>153</v>
      </c>
      <c r="P232" s="60"/>
      <c r="Q232" s="60" t="s">
        <v>89</v>
      </c>
      <c r="R232" s="60"/>
      <c r="S232" s="60" t="s">
        <v>835</v>
      </c>
      <c r="T232" s="60"/>
      <c r="U232" s="61" t="s">
        <v>61</v>
      </c>
    </row>
    <row r="233" spans="1:21" ht="67.5">
      <c r="A233" s="60" t="s">
        <v>835</v>
      </c>
      <c r="B233" s="60" t="s">
        <v>836</v>
      </c>
      <c r="C233" s="61" t="s">
        <v>49</v>
      </c>
      <c r="D233" s="61" t="s">
        <v>737</v>
      </c>
      <c r="E233" s="56" t="s">
        <v>18</v>
      </c>
      <c r="F233" s="57" t="s">
        <v>618</v>
      </c>
      <c r="G233" s="60" t="s">
        <v>837</v>
      </c>
      <c r="H233" s="60" t="s">
        <v>739</v>
      </c>
      <c r="I233" s="60"/>
      <c r="J233" s="58" t="s">
        <v>740</v>
      </c>
      <c r="K233" s="58" t="s">
        <v>54</v>
      </c>
      <c r="L233" s="58" t="s">
        <v>741</v>
      </c>
      <c r="M233" s="60"/>
      <c r="N233" s="65">
        <v>46167</v>
      </c>
      <c r="O233" s="60" t="s">
        <v>153</v>
      </c>
      <c r="P233" s="60"/>
      <c r="Q233" s="60" t="s">
        <v>82</v>
      </c>
      <c r="R233" s="60"/>
      <c r="S233" s="60" t="s">
        <v>823</v>
      </c>
      <c r="T233" s="60"/>
      <c r="U233" s="61" t="s">
        <v>743</v>
      </c>
    </row>
    <row r="234" spans="1:21" ht="67.5">
      <c r="A234" s="60" t="s">
        <v>838</v>
      </c>
      <c r="B234" s="60" t="s">
        <v>839</v>
      </c>
      <c r="C234" s="61" t="s">
        <v>49</v>
      </c>
      <c r="D234" s="61" t="s">
        <v>737</v>
      </c>
      <c r="E234" s="56" t="s">
        <v>18</v>
      </c>
      <c r="F234" s="57" t="s">
        <v>618</v>
      </c>
      <c r="G234" s="60" t="s">
        <v>840</v>
      </c>
      <c r="H234" s="60" t="s">
        <v>739</v>
      </c>
      <c r="I234" s="60"/>
      <c r="J234" s="58" t="s">
        <v>740</v>
      </c>
      <c r="K234" s="58" t="s">
        <v>54</v>
      </c>
      <c r="L234" s="58" t="s">
        <v>741</v>
      </c>
      <c r="M234" s="60"/>
      <c r="N234" s="65">
        <v>46167</v>
      </c>
      <c r="O234" s="60" t="s">
        <v>153</v>
      </c>
      <c r="P234" s="60"/>
      <c r="Q234" s="60" t="s">
        <v>82</v>
      </c>
      <c r="R234" s="60"/>
      <c r="S234" s="60" t="s">
        <v>841</v>
      </c>
      <c r="T234" s="60"/>
      <c r="U234" s="61" t="s">
        <v>743</v>
      </c>
    </row>
    <row r="235" spans="1:21" ht="67.5">
      <c r="A235" s="60" t="s">
        <v>841</v>
      </c>
      <c r="B235" s="60" t="s">
        <v>842</v>
      </c>
      <c r="C235" s="61" t="s">
        <v>49</v>
      </c>
      <c r="D235" s="61" t="s">
        <v>737</v>
      </c>
      <c r="E235" s="62" t="s">
        <v>19</v>
      </c>
      <c r="F235" s="57" t="s">
        <v>618</v>
      </c>
      <c r="G235" s="60" t="s">
        <v>843</v>
      </c>
      <c r="H235" s="60" t="s">
        <v>739</v>
      </c>
      <c r="I235" s="67" t="s">
        <v>844</v>
      </c>
      <c r="J235" s="58" t="s">
        <v>740</v>
      </c>
      <c r="K235" s="58" t="s">
        <v>54</v>
      </c>
      <c r="L235" s="58" t="s">
        <v>741</v>
      </c>
      <c r="M235" s="60"/>
      <c r="N235" s="65">
        <v>46223</v>
      </c>
      <c r="O235" s="60" t="s">
        <v>153</v>
      </c>
      <c r="P235" s="60"/>
      <c r="Q235" s="60" t="s">
        <v>82</v>
      </c>
      <c r="R235" s="60"/>
      <c r="S235" s="60" t="s">
        <v>841</v>
      </c>
      <c r="T235" s="60"/>
      <c r="U235" s="61" t="s">
        <v>743</v>
      </c>
    </row>
    <row r="236" spans="1:21" ht="67.5">
      <c r="A236" s="60" t="s">
        <v>845</v>
      </c>
      <c r="B236" s="60" t="s">
        <v>846</v>
      </c>
      <c r="C236" s="61" t="s">
        <v>49</v>
      </c>
      <c r="D236" s="61" t="s">
        <v>737</v>
      </c>
      <c r="E236" s="62" t="s">
        <v>19</v>
      </c>
      <c r="F236" s="57" t="s">
        <v>618</v>
      </c>
      <c r="G236" s="60" t="s">
        <v>847</v>
      </c>
      <c r="H236" s="60" t="s">
        <v>739</v>
      </c>
      <c r="I236" s="60"/>
      <c r="J236" s="58" t="s">
        <v>740</v>
      </c>
      <c r="K236" s="58" t="s">
        <v>54</v>
      </c>
      <c r="L236" s="58" t="s">
        <v>741</v>
      </c>
      <c r="M236" s="60"/>
      <c r="N236" s="65">
        <v>46223</v>
      </c>
      <c r="O236" s="60" t="s">
        <v>153</v>
      </c>
      <c r="P236" s="60"/>
      <c r="Q236" s="60" t="s">
        <v>89</v>
      </c>
      <c r="R236" s="60"/>
      <c r="S236" s="60" t="s">
        <v>823</v>
      </c>
      <c r="T236" s="60"/>
      <c r="U236" s="61" t="s">
        <v>743</v>
      </c>
    </row>
    <row r="237" spans="1:21" ht="54">
      <c r="A237" s="60" t="s">
        <v>848</v>
      </c>
      <c r="B237" s="60" t="s">
        <v>849</v>
      </c>
      <c r="C237" s="61" t="s">
        <v>49</v>
      </c>
      <c r="D237" s="61" t="s">
        <v>737</v>
      </c>
      <c r="E237" s="62" t="s">
        <v>19</v>
      </c>
      <c r="F237" s="57" t="s">
        <v>618</v>
      </c>
      <c r="G237" s="60" t="s">
        <v>850</v>
      </c>
      <c r="H237" s="60" t="s">
        <v>739</v>
      </c>
      <c r="I237" s="60"/>
      <c r="J237" s="58" t="s">
        <v>740</v>
      </c>
      <c r="K237" s="58" t="s">
        <v>54</v>
      </c>
      <c r="L237" s="58" t="s">
        <v>741</v>
      </c>
      <c r="M237" s="60"/>
      <c r="N237" s="65">
        <v>46223</v>
      </c>
      <c r="O237" s="60" t="s">
        <v>153</v>
      </c>
      <c r="P237" s="60"/>
      <c r="Q237" s="60" t="s">
        <v>89</v>
      </c>
      <c r="R237" s="60"/>
      <c r="S237" s="60" t="s">
        <v>823</v>
      </c>
      <c r="T237" s="60"/>
      <c r="U237" s="61" t="s">
        <v>743</v>
      </c>
    </row>
    <row r="238" spans="1:21" ht="54">
      <c r="A238" s="60" t="s">
        <v>851</v>
      </c>
      <c r="B238" s="60" t="s">
        <v>852</v>
      </c>
      <c r="C238" s="61" t="s">
        <v>49</v>
      </c>
      <c r="D238" s="61" t="s">
        <v>737</v>
      </c>
      <c r="E238" s="56" t="s">
        <v>18</v>
      </c>
      <c r="F238" s="57" t="s">
        <v>618</v>
      </c>
      <c r="G238" s="60" t="s">
        <v>853</v>
      </c>
      <c r="H238" s="60" t="s">
        <v>739</v>
      </c>
      <c r="I238" s="60"/>
      <c r="J238" s="58" t="s">
        <v>740</v>
      </c>
      <c r="K238" s="58" t="s">
        <v>54</v>
      </c>
      <c r="L238" s="58" t="s">
        <v>741</v>
      </c>
      <c r="M238" s="60"/>
      <c r="N238" s="65">
        <v>46223</v>
      </c>
      <c r="O238" s="60" t="s">
        <v>153</v>
      </c>
      <c r="P238" s="60"/>
      <c r="Q238" s="60" t="s">
        <v>82</v>
      </c>
      <c r="R238" s="60"/>
      <c r="S238" s="60" t="s">
        <v>851</v>
      </c>
      <c r="T238" s="60"/>
      <c r="U238" s="61" t="s">
        <v>743</v>
      </c>
    </row>
    <row r="239" spans="1:21" ht="40.5">
      <c r="A239" s="60" t="s">
        <v>854</v>
      </c>
      <c r="B239" s="60" t="s">
        <v>855</v>
      </c>
      <c r="C239" s="61" t="s">
        <v>49</v>
      </c>
      <c r="D239" s="61" t="s">
        <v>737</v>
      </c>
      <c r="E239" s="62" t="s">
        <v>19</v>
      </c>
      <c r="F239" s="57" t="s">
        <v>618</v>
      </c>
      <c r="G239" s="60" t="s">
        <v>856</v>
      </c>
      <c r="H239" s="60" t="s">
        <v>739</v>
      </c>
      <c r="I239" s="60"/>
      <c r="J239" s="58" t="s">
        <v>740</v>
      </c>
      <c r="K239" s="58" t="s">
        <v>54</v>
      </c>
      <c r="L239" s="58" t="s">
        <v>741</v>
      </c>
      <c r="M239" s="60"/>
      <c r="N239" s="65">
        <v>46223</v>
      </c>
      <c r="O239" s="60" t="s">
        <v>153</v>
      </c>
      <c r="P239" s="60"/>
      <c r="Q239" s="60" t="s">
        <v>82</v>
      </c>
      <c r="R239" s="60"/>
      <c r="S239" s="60" t="s">
        <v>851</v>
      </c>
      <c r="T239" s="60"/>
      <c r="U239" s="61" t="s">
        <v>743</v>
      </c>
    </row>
    <row r="240" spans="1:21" ht="40.5">
      <c r="A240" s="60" t="s">
        <v>857</v>
      </c>
      <c r="B240" s="60" t="s">
        <v>858</v>
      </c>
      <c r="C240" s="61" t="s">
        <v>49</v>
      </c>
      <c r="D240" s="61" t="s">
        <v>737</v>
      </c>
      <c r="E240" s="62" t="s">
        <v>19</v>
      </c>
      <c r="F240" s="57" t="s">
        <v>618</v>
      </c>
      <c r="G240" s="60" t="s">
        <v>859</v>
      </c>
      <c r="H240" s="60" t="s">
        <v>739</v>
      </c>
      <c r="I240" s="60"/>
      <c r="J240" s="58" t="s">
        <v>740</v>
      </c>
      <c r="K240" s="58" t="s">
        <v>54</v>
      </c>
      <c r="L240" s="58" t="s">
        <v>741</v>
      </c>
      <c r="M240" s="60"/>
      <c r="N240" s="65">
        <v>46223</v>
      </c>
      <c r="O240" s="60" t="s">
        <v>153</v>
      </c>
      <c r="P240" s="60"/>
      <c r="Q240" s="60" t="s">
        <v>82</v>
      </c>
      <c r="R240" s="60"/>
      <c r="S240" s="60" t="s">
        <v>851</v>
      </c>
      <c r="T240" s="60"/>
      <c r="U240" s="61" t="s">
        <v>743</v>
      </c>
    </row>
    <row r="241" spans="1:21" ht="54">
      <c r="A241" s="60" t="s">
        <v>860</v>
      </c>
      <c r="B241" s="60" t="s">
        <v>861</v>
      </c>
      <c r="C241" s="61" t="s">
        <v>49</v>
      </c>
      <c r="D241" s="61" t="s">
        <v>737</v>
      </c>
      <c r="E241" s="56" t="s">
        <v>18</v>
      </c>
      <c r="F241" s="57" t="s">
        <v>618</v>
      </c>
      <c r="G241" s="60" t="s">
        <v>862</v>
      </c>
      <c r="H241" s="60" t="s">
        <v>739</v>
      </c>
      <c r="I241" s="60"/>
      <c r="J241" s="58" t="s">
        <v>740</v>
      </c>
      <c r="K241" s="58" t="s">
        <v>54</v>
      </c>
      <c r="L241" s="58" t="s">
        <v>741</v>
      </c>
      <c r="M241" s="60"/>
      <c r="N241" s="65">
        <v>46223</v>
      </c>
      <c r="O241" s="60" t="s">
        <v>153</v>
      </c>
      <c r="P241" s="60"/>
      <c r="Q241" s="60" t="s">
        <v>82</v>
      </c>
      <c r="R241" s="60"/>
      <c r="S241" s="60" t="s">
        <v>851</v>
      </c>
      <c r="T241" s="60"/>
      <c r="U241" s="61" t="s">
        <v>743</v>
      </c>
    </row>
    <row r="242" spans="1:21" ht="40.5">
      <c r="A242" s="60" t="s">
        <v>863</v>
      </c>
      <c r="B242" s="60" t="s">
        <v>864</v>
      </c>
      <c r="C242" s="61" t="s">
        <v>49</v>
      </c>
      <c r="D242" s="61" t="s">
        <v>737</v>
      </c>
      <c r="E242" s="62" t="s">
        <v>19</v>
      </c>
      <c r="F242" s="57" t="s">
        <v>618</v>
      </c>
      <c r="G242" s="60" t="s">
        <v>865</v>
      </c>
      <c r="H242" s="60" t="s">
        <v>739</v>
      </c>
      <c r="I242" s="60"/>
      <c r="J242" s="58" t="s">
        <v>740</v>
      </c>
      <c r="K242" s="58" t="s">
        <v>54</v>
      </c>
      <c r="L242" s="58" t="s">
        <v>741</v>
      </c>
      <c r="M242" s="60"/>
      <c r="N242" s="65">
        <v>46223</v>
      </c>
      <c r="O242" s="60" t="s">
        <v>153</v>
      </c>
      <c r="P242" s="60"/>
      <c r="Q242" s="60" t="s">
        <v>89</v>
      </c>
      <c r="R242" s="60"/>
      <c r="S242" s="60" t="s">
        <v>851</v>
      </c>
      <c r="T242" s="60"/>
      <c r="U242" s="61" t="s">
        <v>61</v>
      </c>
    </row>
    <row r="243" spans="1:21" ht="67.5">
      <c r="A243" s="60" t="s">
        <v>866</v>
      </c>
      <c r="B243" s="60" t="s">
        <v>867</v>
      </c>
      <c r="C243" s="61" t="s">
        <v>49</v>
      </c>
      <c r="D243" s="61" t="s">
        <v>737</v>
      </c>
      <c r="E243" s="62" t="s">
        <v>19</v>
      </c>
      <c r="F243" s="57" t="s">
        <v>618</v>
      </c>
      <c r="G243" s="60" t="s">
        <v>868</v>
      </c>
      <c r="H243" s="60" t="s">
        <v>739</v>
      </c>
      <c r="I243" s="60"/>
      <c r="J243" s="58" t="s">
        <v>740</v>
      </c>
      <c r="K243" s="58" t="s">
        <v>54</v>
      </c>
      <c r="L243" s="58" t="s">
        <v>741</v>
      </c>
      <c r="M243" s="60"/>
      <c r="N243" s="65">
        <v>46223</v>
      </c>
      <c r="O243" s="60" t="s">
        <v>153</v>
      </c>
      <c r="P243" s="60"/>
      <c r="Q243" s="60" t="s">
        <v>89</v>
      </c>
      <c r="R243" s="60"/>
      <c r="S243" s="60" t="s">
        <v>854</v>
      </c>
      <c r="T243" s="60" t="s">
        <v>141</v>
      </c>
      <c r="U243" s="61" t="s">
        <v>768</v>
      </c>
    </row>
    <row r="244" spans="1:21" ht="81">
      <c r="A244" s="60" t="s">
        <v>869</v>
      </c>
      <c r="B244" s="60" t="s">
        <v>870</v>
      </c>
      <c r="C244" s="61" t="s">
        <v>49</v>
      </c>
      <c r="D244" s="61" t="s">
        <v>737</v>
      </c>
      <c r="E244" s="62" t="s">
        <v>19</v>
      </c>
      <c r="F244" s="57" t="s">
        <v>618</v>
      </c>
      <c r="G244" s="60" t="s">
        <v>871</v>
      </c>
      <c r="H244" s="60" t="s">
        <v>739</v>
      </c>
      <c r="I244" s="60"/>
      <c r="J244" s="58" t="s">
        <v>740</v>
      </c>
      <c r="K244" s="58" t="s">
        <v>54</v>
      </c>
      <c r="L244" s="58" t="s">
        <v>741</v>
      </c>
      <c r="M244" s="60"/>
      <c r="N244" s="65">
        <v>46223</v>
      </c>
      <c r="O244" s="60" t="s">
        <v>153</v>
      </c>
      <c r="P244" s="60"/>
      <c r="Q244" s="60" t="s">
        <v>82</v>
      </c>
      <c r="R244" s="60"/>
      <c r="S244" s="60" t="s">
        <v>854</v>
      </c>
      <c r="T244" s="60" t="s">
        <v>141</v>
      </c>
      <c r="U244" s="61" t="s">
        <v>768</v>
      </c>
    </row>
    <row r="245" spans="1:21" ht="81">
      <c r="A245" s="60" t="s">
        <v>872</v>
      </c>
      <c r="B245" s="60" t="s">
        <v>873</v>
      </c>
      <c r="C245" s="61" t="s">
        <v>49</v>
      </c>
      <c r="D245" s="61" t="s">
        <v>737</v>
      </c>
      <c r="E245" s="62" t="s">
        <v>19</v>
      </c>
      <c r="F245" s="57" t="s">
        <v>618</v>
      </c>
      <c r="G245" s="60" t="s">
        <v>874</v>
      </c>
      <c r="H245" s="60" t="s">
        <v>739</v>
      </c>
      <c r="I245" s="60"/>
      <c r="J245" s="58" t="s">
        <v>740</v>
      </c>
      <c r="K245" s="58" t="s">
        <v>54</v>
      </c>
      <c r="L245" s="58" t="s">
        <v>741</v>
      </c>
      <c r="M245" s="60"/>
      <c r="N245" s="65">
        <v>46223</v>
      </c>
      <c r="O245" s="60" t="s">
        <v>153</v>
      </c>
      <c r="P245" s="60"/>
      <c r="Q245" s="60" t="s">
        <v>82</v>
      </c>
      <c r="R245" s="60"/>
      <c r="S245" s="60" t="s">
        <v>851</v>
      </c>
      <c r="T245" s="60"/>
      <c r="U245" s="61" t="s">
        <v>743</v>
      </c>
    </row>
    <row r="246" spans="1:21" ht="67.5">
      <c r="A246" s="60" t="s">
        <v>875</v>
      </c>
      <c r="B246" s="60" t="s">
        <v>876</v>
      </c>
      <c r="C246" s="61" t="s">
        <v>49</v>
      </c>
      <c r="D246" s="61" t="s">
        <v>737</v>
      </c>
      <c r="E246" s="62" t="s">
        <v>19</v>
      </c>
      <c r="F246" s="57" t="s">
        <v>618</v>
      </c>
      <c r="G246" s="60" t="s">
        <v>877</v>
      </c>
      <c r="H246" s="60" t="s">
        <v>739</v>
      </c>
      <c r="I246" s="60"/>
      <c r="J246" s="58" t="s">
        <v>740</v>
      </c>
      <c r="K246" s="58" t="s">
        <v>54</v>
      </c>
      <c r="L246" s="58" t="s">
        <v>741</v>
      </c>
      <c r="M246" s="60"/>
      <c r="N246" s="65">
        <v>46223</v>
      </c>
      <c r="O246" s="60" t="s">
        <v>153</v>
      </c>
      <c r="P246" s="60"/>
      <c r="Q246" s="60" t="s">
        <v>82</v>
      </c>
      <c r="R246" s="60"/>
      <c r="S246" s="60" t="s">
        <v>851</v>
      </c>
      <c r="T246" s="60"/>
      <c r="U246" s="61" t="s">
        <v>743</v>
      </c>
    </row>
    <row r="247" spans="1:21" ht="54">
      <c r="A247" s="60" t="s">
        <v>878</v>
      </c>
      <c r="B247" s="60" t="s">
        <v>879</v>
      </c>
      <c r="C247" s="61" t="s">
        <v>49</v>
      </c>
      <c r="D247" s="61" t="s">
        <v>737</v>
      </c>
      <c r="E247" s="62" t="s">
        <v>19</v>
      </c>
      <c r="F247" s="57" t="s">
        <v>618</v>
      </c>
      <c r="G247" s="60" t="s">
        <v>880</v>
      </c>
      <c r="H247" s="60" t="s">
        <v>739</v>
      </c>
      <c r="I247" s="60"/>
      <c r="J247" s="58" t="s">
        <v>740</v>
      </c>
      <c r="K247" s="58" t="s">
        <v>54</v>
      </c>
      <c r="L247" s="58" t="s">
        <v>741</v>
      </c>
      <c r="M247" s="60"/>
      <c r="N247" s="65">
        <v>46223</v>
      </c>
      <c r="O247" s="60" t="s">
        <v>153</v>
      </c>
      <c r="P247" s="60"/>
      <c r="Q247" s="60" t="s">
        <v>82</v>
      </c>
      <c r="R247" s="60"/>
      <c r="S247" s="60" t="s">
        <v>851</v>
      </c>
      <c r="T247" s="60"/>
      <c r="U247" s="61" t="s">
        <v>743</v>
      </c>
    </row>
    <row r="248" spans="1:21" ht="54">
      <c r="A248" s="60" t="s">
        <v>881</v>
      </c>
      <c r="B248" s="60" t="s">
        <v>882</v>
      </c>
      <c r="C248" s="61" t="s">
        <v>49</v>
      </c>
      <c r="D248" s="61" t="s">
        <v>737</v>
      </c>
      <c r="E248" s="62" t="s">
        <v>19</v>
      </c>
      <c r="F248" s="57" t="s">
        <v>618</v>
      </c>
      <c r="G248" s="60" t="s">
        <v>883</v>
      </c>
      <c r="H248" s="60" t="s">
        <v>739</v>
      </c>
      <c r="I248" s="60"/>
      <c r="J248" s="58" t="s">
        <v>740</v>
      </c>
      <c r="K248" s="58" t="s">
        <v>54</v>
      </c>
      <c r="L248" s="58" t="s">
        <v>741</v>
      </c>
      <c r="M248" s="60"/>
      <c r="N248" s="65">
        <v>46223</v>
      </c>
      <c r="O248" s="60" t="s">
        <v>153</v>
      </c>
      <c r="P248" s="60"/>
      <c r="Q248" s="60" t="s">
        <v>82</v>
      </c>
      <c r="R248" s="60"/>
      <c r="S248" s="60" t="s">
        <v>851</v>
      </c>
      <c r="T248" s="60"/>
      <c r="U248" s="61" t="s">
        <v>768</v>
      </c>
    </row>
    <row r="249" spans="1:21" ht="67.5">
      <c r="A249" s="60" t="s">
        <v>884</v>
      </c>
      <c r="B249" s="60" t="s">
        <v>885</v>
      </c>
      <c r="C249" s="61" t="s">
        <v>49</v>
      </c>
      <c r="D249" s="61" t="s">
        <v>737</v>
      </c>
      <c r="E249" s="56" t="s">
        <v>18</v>
      </c>
      <c r="F249" s="57" t="s">
        <v>618</v>
      </c>
      <c r="G249" s="60" t="s">
        <v>886</v>
      </c>
      <c r="H249" s="60" t="s">
        <v>739</v>
      </c>
      <c r="I249" s="60"/>
      <c r="J249" s="58" t="s">
        <v>740</v>
      </c>
      <c r="K249" s="58" t="s">
        <v>54</v>
      </c>
      <c r="L249" s="58" t="s">
        <v>741</v>
      </c>
      <c r="M249" s="60"/>
      <c r="N249" s="65">
        <v>46223</v>
      </c>
      <c r="O249" s="60" t="s">
        <v>153</v>
      </c>
      <c r="P249" s="60"/>
      <c r="Q249" s="60" t="s">
        <v>82</v>
      </c>
      <c r="R249" s="60"/>
      <c r="S249" s="60" t="s">
        <v>851</v>
      </c>
      <c r="T249" s="60"/>
      <c r="U249" s="61" t="s">
        <v>743</v>
      </c>
    </row>
    <row r="250" spans="1:21" ht="135">
      <c r="A250" s="60" t="s">
        <v>887</v>
      </c>
      <c r="B250" s="60" t="s">
        <v>888</v>
      </c>
      <c r="C250" s="61" t="s">
        <v>49</v>
      </c>
      <c r="D250" s="61" t="s">
        <v>737</v>
      </c>
      <c r="E250" s="56" t="s">
        <v>18</v>
      </c>
      <c r="F250" s="57" t="s">
        <v>618</v>
      </c>
      <c r="G250" s="60" t="s">
        <v>889</v>
      </c>
      <c r="H250" s="60" t="s">
        <v>739</v>
      </c>
      <c r="I250" s="60"/>
      <c r="J250" s="58" t="s">
        <v>740</v>
      </c>
      <c r="K250" s="58" t="s">
        <v>54</v>
      </c>
      <c r="L250" s="58" t="s">
        <v>741</v>
      </c>
      <c r="M250" s="60"/>
      <c r="N250" s="65">
        <v>46223</v>
      </c>
      <c r="O250" s="60" t="s">
        <v>153</v>
      </c>
      <c r="P250" s="60"/>
      <c r="Q250" s="60" t="s">
        <v>82</v>
      </c>
      <c r="R250" s="60"/>
      <c r="S250" s="60" t="s">
        <v>854</v>
      </c>
      <c r="T250" s="60" t="s">
        <v>141</v>
      </c>
      <c r="U250" s="61" t="s">
        <v>768</v>
      </c>
    </row>
    <row r="251" spans="1:21" ht="54">
      <c r="A251" s="60" t="s">
        <v>890</v>
      </c>
      <c r="B251" s="60" t="s">
        <v>891</v>
      </c>
      <c r="C251" s="61" t="s">
        <v>49</v>
      </c>
      <c r="D251" s="61" t="s">
        <v>737</v>
      </c>
      <c r="E251" s="62" t="s">
        <v>19</v>
      </c>
      <c r="F251" s="57" t="s">
        <v>618</v>
      </c>
      <c r="G251" s="60" t="s">
        <v>892</v>
      </c>
      <c r="H251" s="60" t="s">
        <v>739</v>
      </c>
      <c r="I251" s="60"/>
      <c r="J251" s="58" t="s">
        <v>740</v>
      </c>
      <c r="K251" s="58" t="s">
        <v>54</v>
      </c>
      <c r="L251" s="58" t="s">
        <v>741</v>
      </c>
      <c r="M251" s="60"/>
      <c r="N251" s="65">
        <v>46223</v>
      </c>
      <c r="O251" s="60" t="s">
        <v>153</v>
      </c>
      <c r="P251" s="60"/>
      <c r="Q251" s="60" t="s">
        <v>89</v>
      </c>
      <c r="R251" s="60"/>
      <c r="S251" s="60" t="s">
        <v>851</v>
      </c>
      <c r="T251" s="60"/>
      <c r="U251" s="61" t="s">
        <v>61</v>
      </c>
    </row>
    <row r="252" spans="1:21" ht="74.25" customHeight="1">
      <c r="A252" s="60" t="s">
        <v>893</v>
      </c>
      <c r="B252" s="60" t="s">
        <v>894</v>
      </c>
      <c r="C252" s="61" t="s">
        <v>49</v>
      </c>
      <c r="D252" s="61" t="s">
        <v>737</v>
      </c>
      <c r="E252" s="56" t="s">
        <v>18</v>
      </c>
      <c r="F252" s="57" t="s">
        <v>618</v>
      </c>
      <c r="G252" s="60" t="s">
        <v>895</v>
      </c>
      <c r="H252" s="60" t="s">
        <v>739</v>
      </c>
      <c r="I252" s="60"/>
      <c r="J252" s="58" t="s">
        <v>740</v>
      </c>
      <c r="K252" s="58" t="s">
        <v>54</v>
      </c>
      <c r="L252" s="58" t="s">
        <v>741</v>
      </c>
      <c r="M252" s="60"/>
      <c r="N252" s="65">
        <v>46223</v>
      </c>
      <c r="O252" s="60" t="s">
        <v>153</v>
      </c>
      <c r="P252" s="60"/>
      <c r="Q252" s="60" t="s">
        <v>82</v>
      </c>
      <c r="R252" s="60"/>
      <c r="S252" s="60" t="s">
        <v>851</v>
      </c>
      <c r="T252" s="60"/>
      <c r="U252" s="61" t="s">
        <v>743</v>
      </c>
    </row>
    <row r="253" spans="1:21" ht="69.75" customHeight="1">
      <c r="A253" s="60" t="s">
        <v>896</v>
      </c>
      <c r="B253" s="60" t="s">
        <v>897</v>
      </c>
      <c r="C253" s="61" t="s">
        <v>49</v>
      </c>
      <c r="D253" s="61" t="s">
        <v>737</v>
      </c>
      <c r="E253" s="56" t="s">
        <v>18</v>
      </c>
      <c r="F253" s="57" t="s">
        <v>618</v>
      </c>
      <c r="G253" s="60" t="s">
        <v>898</v>
      </c>
      <c r="H253" s="60" t="s">
        <v>739</v>
      </c>
      <c r="I253" s="60"/>
      <c r="J253" s="58" t="s">
        <v>740</v>
      </c>
      <c r="K253" s="58" t="s">
        <v>54</v>
      </c>
      <c r="L253" s="58" t="s">
        <v>741</v>
      </c>
      <c r="M253" s="60"/>
      <c r="N253" s="65">
        <v>46223</v>
      </c>
      <c r="O253" s="60" t="s">
        <v>153</v>
      </c>
      <c r="P253" s="60"/>
      <c r="Q253" s="60" t="s">
        <v>82</v>
      </c>
      <c r="R253" s="60"/>
      <c r="S253" s="60" t="s">
        <v>899</v>
      </c>
      <c r="T253" s="60"/>
      <c r="U253" s="61" t="s">
        <v>743</v>
      </c>
    </row>
    <row r="254" spans="1:21" ht="54">
      <c r="A254" s="60" t="s">
        <v>899</v>
      </c>
      <c r="B254" s="60" t="s">
        <v>900</v>
      </c>
      <c r="C254" s="61" t="s">
        <v>49</v>
      </c>
      <c r="D254" s="61" t="s">
        <v>737</v>
      </c>
      <c r="E254" s="56" t="s">
        <v>18</v>
      </c>
      <c r="F254" s="57" t="s">
        <v>618</v>
      </c>
      <c r="G254" s="60" t="s">
        <v>901</v>
      </c>
      <c r="H254" s="60" t="s">
        <v>739</v>
      </c>
      <c r="I254" s="60"/>
      <c r="J254" s="58" t="s">
        <v>740</v>
      </c>
      <c r="K254" s="58" t="s">
        <v>54</v>
      </c>
      <c r="L254" s="58" t="s">
        <v>741</v>
      </c>
      <c r="M254" s="60"/>
      <c r="N254" s="65">
        <v>46223</v>
      </c>
      <c r="O254" s="60" t="s">
        <v>153</v>
      </c>
      <c r="P254" s="60"/>
      <c r="Q254" s="60" t="s">
        <v>82</v>
      </c>
      <c r="R254" s="60"/>
      <c r="S254" s="60" t="s">
        <v>902</v>
      </c>
      <c r="T254" s="60"/>
      <c r="U254" s="61" t="s">
        <v>768</v>
      </c>
    </row>
    <row r="255" spans="1:21" ht="81">
      <c r="A255" s="60" t="s">
        <v>902</v>
      </c>
      <c r="B255" s="60" t="s">
        <v>903</v>
      </c>
      <c r="C255" s="61" t="s">
        <v>49</v>
      </c>
      <c r="D255" s="61" t="s">
        <v>737</v>
      </c>
      <c r="E255" s="62" t="s">
        <v>19</v>
      </c>
      <c r="F255" s="57" t="s">
        <v>618</v>
      </c>
      <c r="G255" s="60" t="s">
        <v>904</v>
      </c>
      <c r="H255" s="60" t="s">
        <v>739</v>
      </c>
      <c r="I255" s="60"/>
      <c r="J255" s="58" t="s">
        <v>740</v>
      </c>
      <c r="K255" s="58" t="s">
        <v>54</v>
      </c>
      <c r="L255" s="58" t="s">
        <v>741</v>
      </c>
      <c r="M255" s="60"/>
      <c r="N255" s="65">
        <v>46223</v>
      </c>
      <c r="O255" s="60" t="s">
        <v>153</v>
      </c>
      <c r="P255" s="60"/>
      <c r="Q255" s="60" t="s">
        <v>82</v>
      </c>
      <c r="R255" s="60"/>
      <c r="S255" s="60" t="s">
        <v>851</v>
      </c>
      <c r="T255" s="60"/>
      <c r="U255" s="61" t="s">
        <v>743</v>
      </c>
    </row>
    <row r="256" spans="1:21" ht="66.75" customHeight="1">
      <c r="A256" s="60" t="s">
        <v>905</v>
      </c>
      <c r="B256" s="60" t="s">
        <v>906</v>
      </c>
      <c r="C256" s="61" t="s">
        <v>49</v>
      </c>
      <c r="D256" s="61" t="s">
        <v>737</v>
      </c>
      <c r="E256" s="62" t="s">
        <v>19</v>
      </c>
      <c r="F256" s="57" t="s">
        <v>618</v>
      </c>
      <c r="G256" s="60" t="s">
        <v>907</v>
      </c>
      <c r="H256" s="60" t="s">
        <v>739</v>
      </c>
      <c r="I256" s="60"/>
      <c r="J256" s="58" t="s">
        <v>740</v>
      </c>
      <c r="K256" s="58" t="s">
        <v>54</v>
      </c>
      <c r="L256" s="58" t="s">
        <v>741</v>
      </c>
      <c r="M256" s="60"/>
      <c r="N256" s="65">
        <v>46223</v>
      </c>
      <c r="O256" s="60" t="s">
        <v>153</v>
      </c>
      <c r="P256" s="60"/>
      <c r="Q256" s="60" t="s">
        <v>82</v>
      </c>
      <c r="R256" s="60"/>
      <c r="S256" s="60" t="s">
        <v>851</v>
      </c>
      <c r="T256" s="60"/>
      <c r="U256" s="61" t="s">
        <v>743</v>
      </c>
    </row>
    <row r="257" spans="1:21" ht="67.5">
      <c r="A257" s="60" t="s">
        <v>908</v>
      </c>
      <c r="B257" s="60" t="s">
        <v>909</v>
      </c>
      <c r="C257" s="61" t="s">
        <v>49</v>
      </c>
      <c r="D257" s="61" t="s">
        <v>737</v>
      </c>
      <c r="E257" s="62" t="s">
        <v>19</v>
      </c>
      <c r="F257" s="57" t="s">
        <v>618</v>
      </c>
      <c r="G257" s="60" t="s">
        <v>910</v>
      </c>
      <c r="H257" s="60" t="s">
        <v>739</v>
      </c>
      <c r="I257" s="60"/>
      <c r="J257" s="58" t="s">
        <v>740</v>
      </c>
      <c r="K257" s="58" t="s">
        <v>54</v>
      </c>
      <c r="L257" s="58" t="s">
        <v>741</v>
      </c>
      <c r="M257" s="60"/>
      <c r="N257" s="65">
        <v>46223</v>
      </c>
      <c r="O257" s="60" t="s">
        <v>153</v>
      </c>
      <c r="P257" s="60"/>
      <c r="Q257" s="60" t="s">
        <v>82</v>
      </c>
      <c r="R257" s="60"/>
      <c r="S257" s="60" t="s">
        <v>851</v>
      </c>
      <c r="T257" s="60"/>
      <c r="U257" s="61" t="s">
        <v>743</v>
      </c>
    </row>
    <row r="258" spans="1:21" ht="67.5">
      <c r="A258" s="60" t="s">
        <v>911</v>
      </c>
      <c r="B258" s="60" t="s">
        <v>912</v>
      </c>
      <c r="C258" s="61" t="s">
        <v>49</v>
      </c>
      <c r="D258" s="61" t="s">
        <v>737</v>
      </c>
      <c r="E258" s="56" t="s">
        <v>18</v>
      </c>
      <c r="F258" s="57" t="s">
        <v>618</v>
      </c>
      <c r="G258" s="60" t="s">
        <v>913</v>
      </c>
      <c r="H258" s="60" t="s">
        <v>739</v>
      </c>
      <c r="I258" s="60"/>
      <c r="J258" s="58" t="s">
        <v>740</v>
      </c>
      <c r="K258" s="58" t="s">
        <v>54</v>
      </c>
      <c r="L258" s="58" t="s">
        <v>741</v>
      </c>
      <c r="M258" s="60"/>
      <c r="N258" s="65">
        <v>46223</v>
      </c>
      <c r="O258" s="60" t="s">
        <v>153</v>
      </c>
      <c r="P258" s="60"/>
      <c r="Q258" s="60" t="s">
        <v>82</v>
      </c>
      <c r="R258" s="60"/>
      <c r="S258" s="60" t="s">
        <v>851</v>
      </c>
      <c r="T258" s="60"/>
      <c r="U258" s="61" t="s">
        <v>743</v>
      </c>
    </row>
    <row r="259" spans="1:21" ht="67.5">
      <c r="A259" s="60" t="s">
        <v>914</v>
      </c>
      <c r="B259" s="60" t="s">
        <v>915</v>
      </c>
      <c r="C259" s="61" t="s">
        <v>49</v>
      </c>
      <c r="D259" s="61" t="s">
        <v>737</v>
      </c>
      <c r="E259" s="62" t="s">
        <v>19</v>
      </c>
      <c r="F259" s="57" t="s">
        <v>618</v>
      </c>
      <c r="G259" s="60" t="s">
        <v>916</v>
      </c>
      <c r="H259" s="60" t="s">
        <v>739</v>
      </c>
      <c r="I259" s="60"/>
      <c r="J259" s="58" t="s">
        <v>740</v>
      </c>
      <c r="K259" s="58" t="s">
        <v>54</v>
      </c>
      <c r="L259" s="58" t="s">
        <v>741</v>
      </c>
      <c r="M259" s="60"/>
      <c r="N259" s="65">
        <v>46223</v>
      </c>
      <c r="O259" s="60" t="s">
        <v>153</v>
      </c>
      <c r="P259" s="60"/>
      <c r="Q259" s="60" t="s">
        <v>89</v>
      </c>
      <c r="R259" s="60"/>
      <c r="S259" s="60" t="s">
        <v>851</v>
      </c>
      <c r="T259" s="60"/>
      <c r="U259" s="61" t="s">
        <v>743</v>
      </c>
    </row>
    <row r="260" spans="1:21" ht="67.5">
      <c r="A260" s="60" t="s">
        <v>917</v>
      </c>
      <c r="B260" s="60" t="s">
        <v>918</v>
      </c>
      <c r="C260" s="61" t="s">
        <v>49</v>
      </c>
      <c r="D260" s="61" t="s">
        <v>737</v>
      </c>
      <c r="E260" s="62" t="s">
        <v>21</v>
      </c>
      <c r="F260" s="57" t="s">
        <v>618</v>
      </c>
      <c r="G260" s="60" t="s">
        <v>919</v>
      </c>
      <c r="H260" s="60" t="s">
        <v>739</v>
      </c>
      <c r="I260" s="60"/>
      <c r="J260" s="58" t="s">
        <v>740</v>
      </c>
      <c r="K260" s="58" t="s">
        <v>54</v>
      </c>
      <c r="L260" s="58" t="s">
        <v>741</v>
      </c>
      <c r="M260" s="60"/>
      <c r="N260" s="65">
        <v>46223</v>
      </c>
      <c r="O260" s="60" t="s">
        <v>153</v>
      </c>
      <c r="P260" s="60"/>
      <c r="Q260" s="60" t="s">
        <v>82</v>
      </c>
      <c r="R260" s="60"/>
      <c r="S260" s="60" t="s">
        <v>908</v>
      </c>
      <c r="T260" s="60"/>
      <c r="U260" s="61" t="s">
        <v>743</v>
      </c>
    </row>
    <row r="261" spans="1:21" ht="67.5">
      <c r="A261" s="60" t="s">
        <v>920</v>
      </c>
      <c r="B261" s="60" t="s">
        <v>921</v>
      </c>
      <c r="C261" s="61" t="s">
        <v>49</v>
      </c>
      <c r="D261" s="61" t="s">
        <v>737</v>
      </c>
      <c r="E261" s="62" t="s">
        <v>21</v>
      </c>
      <c r="F261" s="57" t="s">
        <v>618</v>
      </c>
      <c r="G261" s="60" t="s">
        <v>922</v>
      </c>
      <c r="H261" s="60" t="s">
        <v>739</v>
      </c>
      <c r="I261" s="60"/>
      <c r="J261" s="58" t="s">
        <v>740</v>
      </c>
      <c r="K261" s="58" t="s">
        <v>54</v>
      </c>
      <c r="L261" s="58" t="s">
        <v>741</v>
      </c>
      <c r="M261" s="60"/>
      <c r="N261" s="65">
        <v>46223</v>
      </c>
      <c r="O261" s="60" t="s">
        <v>153</v>
      </c>
      <c r="P261" s="60"/>
      <c r="Q261" s="60" t="s">
        <v>82</v>
      </c>
      <c r="R261" s="60"/>
      <c r="S261" s="60" t="s">
        <v>848</v>
      </c>
      <c r="T261" s="60"/>
      <c r="U261" s="61" t="s">
        <v>743</v>
      </c>
    </row>
    <row r="262" spans="1:21" ht="67.5">
      <c r="A262" s="60" t="s">
        <v>923</v>
      </c>
      <c r="B262" s="60" t="s">
        <v>924</v>
      </c>
      <c r="C262" s="61" t="s">
        <v>49</v>
      </c>
      <c r="D262" s="61" t="s">
        <v>737</v>
      </c>
      <c r="E262" s="62" t="s">
        <v>19</v>
      </c>
      <c r="F262" s="57" t="s">
        <v>618</v>
      </c>
      <c r="G262" s="60" t="s">
        <v>925</v>
      </c>
      <c r="H262" s="60" t="s">
        <v>739</v>
      </c>
      <c r="I262" s="60"/>
      <c r="J262" s="58" t="s">
        <v>740</v>
      </c>
      <c r="K262" s="58" t="s">
        <v>54</v>
      </c>
      <c r="L262" s="58" t="s">
        <v>741</v>
      </c>
      <c r="M262" s="60"/>
      <c r="N262" s="65">
        <v>46174</v>
      </c>
      <c r="O262" s="60" t="s">
        <v>153</v>
      </c>
      <c r="P262" s="60"/>
      <c r="Q262" s="60" t="s">
        <v>89</v>
      </c>
      <c r="R262" s="60"/>
      <c r="S262" s="60" t="s">
        <v>744</v>
      </c>
      <c r="T262" s="60"/>
      <c r="U262" s="61" t="s">
        <v>61</v>
      </c>
    </row>
    <row r="263" spans="1:21" ht="81">
      <c r="A263" s="60" t="s">
        <v>926</v>
      </c>
      <c r="B263" s="60" t="s">
        <v>927</v>
      </c>
      <c r="C263" s="61" t="s">
        <v>49</v>
      </c>
      <c r="D263" s="61" t="s">
        <v>737</v>
      </c>
      <c r="E263" s="62" t="s">
        <v>18</v>
      </c>
      <c r="F263" s="57" t="s">
        <v>618</v>
      </c>
      <c r="G263" s="60" t="s">
        <v>928</v>
      </c>
      <c r="H263" s="60" t="s">
        <v>739</v>
      </c>
      <c r="I263" s="60"/>
      <c r="J263" s="58" t="s">
        <v>740</v>
      </c>
      <c r="K263" s="58" t="s">
        <v>54</v>
      </c>
      <c r="L263" s="58" t="s">
        <v>741</v>
      </c>
      <c r="M263" s="60"/>
      <c r="N263" s="65">
        <v>46174</v>
      </c>
      <c r="O263" s="60" t="s">
        <v>153</v>
      </c>
      <c r="P263" s="60"/>
      <c r="Q263" s="60" t="s">
        <v>82</v>
      </c>
      <c r="R263" s="60"/>
      <c r="S263" s="60" t="s">
        <v>923</v>
      </c>
      <c r="T263" s="60"/>
      <c r="U263" s="61" t="s">
        <v>61</v>
      </c>
    </row>
    <row r="264" spans="1:21" ht="54">
      <c r="A264" s="60" t="s">
        <v>929</v>
      </c>
      <c r="B264" s="60" t="s">
        <v>930</v>
      </c>
      <c r="C264" s="61" t="s">
        <v>49</v>
      </c>
      <c r="D264" s="61" t="s">
        <v>737</v>
      </c>
      <c r="E264" s="62" t="s">
        <v>19</v>
      </c>
      <c r="F264" s="57" t="s">
        <v>618</v>
      </c>
      <c r="G264" s="60" t="s">
        <v>931</v>
      </c>
      <c r="H264" s="60" t="s">
        <v>739</v>
      </c>
      <c r="I264" s="60"/>
      <c r="J264" s="58" t="s">
        <v>740</v>
      </c>
      <c r="K264" s="58" t="s">
        <v>54</v>
      </c>
      <c r="L264" s="58" t="s">
        <v>741</v>
      </c>
      <c r="M264" s="60"/>
      <c r="N264" s="65">
        <v>46174</v>
      </c>
      <c r="O264" s="60" t="s">
        <v>153</v>
      </c>
      <c r="P264" s="60"/>
      <c r="Q264" s="60" t="s">
        <v>82</v>
      </c>
      <c r="R264" s="60"/>
      <c r="S264" s="60" t="s">
        <v>923</v>
      </c>
      <c r="T264" s="60"/>
      <c r="U264" s="61" t="s">
        <v>61</v>
      </c>
    </row>
    <row r="265" spans="1:21" ht="67.5">
      <c r="A265" s="60" t="s">
        <v>932</v>
      </c>
      <c r="B265" s="60" t="s">
        <v>933</v>
      </c>
      <c r="C265" s="61" t="s">
        <v>49</v>
      </c>
      <c r="D265" s="61" t="s">
        <v>737</v>
      </c>
      <c r="E265" s="62" t="s">
        <v>19</v>
      </c>
      <c r="F265" s="57" t="s">
        <v>618</v>
      </c>
      <c r="G265" s="60" t="s">
        <v>934</v>
      </c>
      <c r="H265" s="60" t="s">
        <v>739</v>
      </c>
      <c r="I265" s="60"/>
      <c r="J265" s="58" t="s">
        <v>740</v>
      </c>
      <c r="K265" s="58" t="s">
        <v>54</v>
      </c>
      <c r="L265" s="58" t="s">
        <v>741</v>
      </c>
      <c r="M265" s="60"/>
      <c r="N265" s="65">
        <v>46174</v>
      </c>
      <c r="O265" s="60" t="s">
        <v>153</v>
      </c>
      <c r="P265" s="60"/>
      <c r="Q265" s="60" t="s">
        <v>82</v>
      </c>
      <c r="R265" s="60"/>
      <c r="S265" s="60" t="s">
        <v>923</v>
      </c>
      <c r="T265" s="60"/>
      <c r="U265" s="61" t="s">
        <v>61</v>
      </c>
    </row>
    <row r="266" spans="1:21" ht="81">
      <c r="A266" s="60" t="s">
        <v>935</v>
      </c>
      <c r="B266" s="60" t="s">
        <v>936</v>
      </c>
      <c r="C266" s="61" t="s">
        <v>49</v>
      </c>
      <c r="D266" s="61" t="s">
        <v>737</v>
      </c>
      <c r="E266" s="62" t="s">
        <v>19</v>
      </c>
      <c r="F266" s="57" t="s">
        <v>618</v>
      </c>
      <c r="G266" s="60" t="s">
        <v>937</v>
      </c>
      <c r="H266" s="60" t="s">
        <v>739</v>
      </c>
      <c r="I266" s="67" t="s">
        <v>938</v>
      </c>
      <c r="J266" s="58" t="s">
        <v>740</v>
      </c>
      <c r="K266" s="58" t="s">
        <v>54</v>
      </c>
      <c r="L266" s="58" t="s">
        <v>741</v>
      </c>
      <c r="M266" s="60"/>
      <c r="N266" s="65">
        <v>46174</v>
      </c>
      <c r="O266" s="60" t="s">
        <v>153</v>
      </c>
      <c r="P266" s="60"/>
      <c r="Q266" s="60" t="s">
        <v>82</v>
      </c>
      <c r="R266" s="60"/>
      <c r="S266" s="60" t="s">
        <v>923</v>
      </c>
      <c r="T266" s="60"/>
      <c r="U266" s="61" t="s">
        <v>61</v>
      </c>
    </row>
    <row r="267" spans="1:21" ht="81">
      <c r="A267" s="60" t="s">
        <v>939</v>
      </c>
      <c r="B267" s="60" t="s">
        <v>940</v>
      </c>
      <c r="C267" s="61" t="s">
        <v>49</v>
      </c>
      <c r="D267" s="61" t="s">
        <v>737</v>
      </c>
      <c r="E267" s="62" t="s">
        <v>21</v>
      </c>
      <c r="F267" s="57" t="s">
        <v>618</v>
      </c>
      <c r="G267" s="60" t="s">
        <v>941</v>
      </c>
      <c r="H267" s="60" t="s">
        <v>739</v>
      </c>
      <c r="I267" s="60"/>
      <c r="J267" s="58" t="s">
        <v>740</v>
      </c>
      <c r="K267" s="58" t="s">
        <v>54</v>
      </c>
      <c r="L267" s="58" t="s">
        <v>741</v>
      </c>
      <c r="M267" s="60"/>
      <c r="N267" s="65">
        <v>46174</v>
      </c>
      <c r="O267" s="60" t="s">
        <v>153</v>
      </c>
      <c r="P267" s="60"/>
      <c r="Q267" s="60" t="s">
        <v>89</v>
      </c>
      <c r="R267" s="60"/>
      <c r="S267" s="60" t="s">
        <v>923</v>
      </c>
      <c r="T267" s="60"/>
      <c r="U267" s="61" t="s">
        <v>61</v>
      </c>
    </row>
    <row r="268" spans="1:21" ht="81">
      <c r="A268" s="60" t="s">
        <v>942</v>
      </c>
      <c r="B268" s="60" t="s">
        <v>943</v>
      </c>
      <c r="C268" s="61" t="s">
        <v>49</v>
      </c>
      <c r="D268" s="61" t="s">
        <v>737</v>
      </c>
      <c r="E268" s="62" t="s">
        <v>19</v>
      </c>
      <c r="F268" s="57" t="s">
        <v>618</v>
      </c>
      <c r="G268" s="60" t="s">
        <v>944</v>
      </c>
      <c r="H268" s="60" t="s">
        <v>739</v>
      </c>
      <c r="I268" s="60"/>
      <c r="J268" s="58" t="s">
        <v>740</v>
      </c>
      <c r="K268" s="58" t="s">
        <v>54</v>
      </c>
      <c r="L268" s="58" t="s">
        <v>741</v>
      </c>
      <c r="M268" s="60"/>
      <c r="N268" s="65">
        <v>46174</v>
      </c>
      <c r="O268" s="60" t="s">
        <v>153</v>
      </c>
      <c r="P268" s="60"/>
      <c r="Q268" s="60" t="s">
        <v>82</v>
      </c>
      <c r="R268" s="60"/>
      <c r="S268" s="60" t="s">
        <v>923</v>
      </c>
      <c r="T268" s="60"/>
      <c r="U268" s="61" t="s">
        <v>61</v>
      </c>
    </row>
    <row r="269" spans="1:21" ht="40.5">
      <c r="A269" s="60" t="s">
        <v>945</v>
      </c>
      <c r="B269" s="60" t="s">
        <v>946</v>
      </c>
      <c r="C269" s="61" t="s">
        <v>49</v>
      </c>
      <c r="D269" s="61" t="s">
        <v>737</v>
      </c>
      <c r="E269" s="62" t="s">
        <v>19</v>
      </c>
      <c r="F269" s="57" t="s">
        <v>618</v>
      </c>
      <c r="G269" s="60" t="s">
        <v>947</v>
      </c>
      <c r="H269" s="60" t="s">
        <v>739</v>
      </c>
      <c r="I269" s="60"/>
      <c r="J269" s="58" t="s">
        <v>740</v>
      </c>
      <c r="K269" s="58" t="s">
        <v>54</v>
      </c>
      <c r="L269" s="58" t="s">
        <v>741</v>
      </c>
      <c r="M269" s="60"/>
      <c r="N269" s="65">
        <v>46174</v>
      </c>
      <c r="O269" s="60" t="s">
        <v>153</v>
      </c>
      <c r="P269" s="60"/>
      <c r="Q269" s="60" t="s">
        <v>82</v>
      </c>
      <c r="R269" s="60"/>
      <c r="S269" s="60" t="s">
        <v>932</v>
      </c>
      <c r="T269" s="60"/>
      <c r="U269" s="61" t="s">
        <v>768</v>
      </c>
    </row>
    <row r="270" spans="1:21" ht="67.5">
      <c r="A270" s="60" t="s">
        <v>948</v>
      </c>
      <c r="B270" s="60" t="s">
        <v>949</v>
      </c>
      <c r="C270" s="61" t="s">
        <v>49</v>
      </c>
      <c r="D270" s="61" t="s">
        <v>737</v>
      </c>
      <c r="E270" s="62" t="s">
        <v>21</v>
      </c>
      <c r="F270" s="57" t="s">
        <v>618</v>
      </c>
      <c r="G270" s="60" t="s">
        <v>950</v>
      </c>
      <c r="H270" s="60" t="s">
        <v>739</v>
      </c>
      <c r="I270" s="60"/>
      <c r="J270" s="58" t="s">
        <v>740</v>
      </c>
      <c r="K270" s="58" t="s">
        <v>54</v>
      </c>
      <c r="L270" s="58" t="s">
        <v>741</v>
      </c>
      <c r="M270" s="60"/>
      <c r="N270" s="65">
        <v>46174</v>
      </c>
      <c r="O270" s="60" t="s">
        <v>153</v>
      </c>
      <c r="P270" s="60"/>
      <c r="Q270" s="60" t="s">
        <v>82</v>
      </c>
      <c r="R270" s="60"/>
      <c r="S270" s="60" t="s">
        <v>929</v>
      </c>
      <c r="T270" s="60"/>
      <c r="U270" s="61" t="s">
        <v>743</v>
      </c>
    </row>
    <row r="271" spans="1:21" ht="54">
      <c r="A271" s="60" t="s">
        <v>951</v>
      </c>
      <c r="B271" s="60" t="s">
        <v>952</v>
      </c>
      <c r="C271" s="61" t="s">
        <v>49</v>
      </c>
      <c r="D271" s="61" t="s">
        <v>737</v>
      </c>
      <c r="E271" s="62" t="s">
        <v>18</v>
      </c>
      <c r="F271" s="57" t="s">
        <v>618</v>
      </c>
      <c r="G271" s="60" t="s">
        <v>953</v>
      </c>
      <c r="H271" s="60" t="s">
        <v>739</v>
      </c>
      <c r="I271" s="60"/>
      <c r="J271" s="58" t="s">
        <v>740</v>
      </c>
      <c r="K271" s="58" t="s">
        <v>54</v>
      </c>
      <c r="L271" s="58" t="s">
        <v>741</v>
      </c>
      <c r="M271" s="60"/>
      <c r="N271" s="65">
        <v>46176</v>
      </c>
      <c r="O271" s="60" t="s">
        <v>153</v>
      </c>
      <c r="P271" s="60"/>
      <c r="Q271" s="60" t="s">
        <v>82</v>
      </c>
      <c r="R271" s="60"/>
      <c r="S271" s="60" t="s">
        <v>932</v>
      </c>
      <c r="T271" s="60"/>
      <c r="U271" s="61" t="s">
        <v>768</v>
      </c>
    </row>
    <row r="272" spans="1:21" ht="54">
      <c r="A272" s="60" t="s">
        <v>954</v>
      </c>
      <c r="B272" s="60" t="s">
        <v>955</v>
      </c>
      <c r="C272" s="61" t="s">
        <v>49</v>
      </c>
      <c r="D272" s="61" t="s">
        <v>737</v>
      </c>
      <c r="E272" s="62" t="s">
        <v>18</v>
      </c>
      <c r="F272" s="57" t="s">
        <v>618</v>
      </c>
      <c r="G272" s="60" t="s">
        <v>956</v>
      </c>
      <c r="H272" s="60" t="s">
        <v>739</v>
      </c>
      <c r="I272" s="60"/>
      <c r="J272" s="58" t="s">
        <v>740</v>
      </c>
      <c r="K272" s="58" t="s">
        <v>54</v>
      </c>
      <c r="L272" s="58" t="s">
        <v>741</v>
      </c>
      <c r="M272" s="60"/>
      <c r="N272" s="65">
        <v>46176</v>
      </c>
      <c r="O272" s="60" t="s">
        <v>153</v>
      </c>
      <c r="P272" s="60"/>
      <c r="Q272" s="60" t="s">
        <v>82</v>
      </c>
      <c r="R272" s="60"/>
      <c r="S272" s="60" t="s">
        <v>932</v>
      </c>
      <c r="T272" s="60"/>
      <c r="U272" s="61" t="s">
        <v>768</v>
      </c>
    </row>
    <row r="273" spans="1:21" ht="67.5">
      <c r="A273" s="60" t="s">
        <v>957</v>
      </c>
      <c r="B273" s="60" t="s">
        <v>958</v>
      </c>
      <c r="C273" s="61" t="s">
        <v>49</v>
      </c>
      <c r="D273" s="61" t="s">
        <v>737</v>
      </c>
      <c r="E273" s="62" t="s">
        <v>19</v>
      </c>
      <c r="F273" s="57" t="s">
        <v>618</v>
      </c>
      <c r="G273" s="60" t="s">
        <v>959</v>
      </c>
      <c r="H273" s="60" t="s">
        <v>739</v>
      </c>
      <c r="I273" s="60"/>
      <c r="J273" s="58" t="s">
        <v>740</v>
      </c>
      <c r="K273" s="58" t="s">
        <v>54</v>
      </c>
      <c r="L273" s="58" t="s">
        <v>741</v>
      </c>
      <c r="M273" s="60"/>
      <c r="N273" s="65">
        <v>46176</v>
      </c>
      <c r="O273" s="60" t="s">
        <v>153</v>
      </c>
      <c r="P273" s="60"/>
      <c r="Q273" s="60" t="s">
        <v>82</v>
      </c>
      <c r="R273" s="60"/>
      <c r="S273" s="60" t="s">
        <v>929</v>
      </c>
      <c r="T273" s="60"/>
      <c r="U273" s="61" t="s">
        <v>743</v>
      </c>
    </row>
    <row r="274" spans="1:21" ht="81">
      <c r="A274" s="60" t="s">
        <v>960</v>
      </c>
      <c r="B274" s="60" t="s">
        <v>961</v>
      </c>
      <c r="C274" s="61" t="s">
        <v>49</v>
      </c>
      <c r="D274" s="61" t="s">
        <v>737</v>
      </c>
      <c r="E274" s="62" t="s">
        <v>19</v>
      </c>
      <c r="F274" s="57" t="s">
        <v>618</v>
      </c>
      <c r="G274" s="60" t="s">
        <v>962</v>
      </c>
      <c r="H274" s="60" t="s">
        <v>739</v>
      </c>
      <c r="I274" s="60"/>
      <c r="J274" s="58" t="s">
        <v>740</v>
      </c>
      <c r="K274" s="58" t="s">
        <v>54</v>
      </c>
      <c r="L274" s="58" t="s">
        <v>741</v>
      </c>
      <c r="M274" s="60"/>
      <c r="N274" s="65">
        <v>46176</v>
      </c>
      <c r="O274" s="60" t="s">
        <v>153</v>
      </c>
      <c r="P274" s="60"/>
      <c r="Q274" s="60" t="s">
        <v>82</v>
      </c>
      <c r="R274" s="60"/>
      <c r="S274" s="60" t="s">
        <v>932</v>
      </c>
      <c r="T274" s="60"/>
      <c r="U274" s="61" t="s">
        <v>743</v>
      </c>
    </row>
    <row r="275" spans="1:21" ht="54">
      <c r="A275" s="60" t="s">
        <v>963</v>
      </c>
      <c r="B275" s="60" t="s">
        <v>964</v>
      </c>
      <c r="C275" s="61" t="s">
        <v>49</v>
      </c>
      <c r="D275" s="61" t="s">
        <v>737</v>
      </c>
      <c r="E275" s="62" t="s">
        <v>19</v>
      </c>
      <c r="F275" s="57" t="s">
        <v>618</v>
      </c>
      <c r="G275" s="60" t="s">
        <v>965</v>
      </c>
      <c r="H275" s="60" t="s">
        <v>739</v>
      </c>
      <c r="I275" s="60"/>
      <c r="J275" s="58" t="s">
        <v>740</v>
      </c>
      <c r="K275" s="58" t="s">
        <v>54</v>
      </c>
      <c r="L275" s="58" t="s">
        <v>741</v>
      </c>
      <c r="M275" s="60"/>
      <c r="N275" s="65">
        <v>46176</v>
      </c>
      <c r="O275" s="60" t="s">
        <v>153</v>
      </c>
      <c r="P275" s="60"/>
      <c r="Q275" s="60" t="s">
        <v>82</v>
      </c>
      <c r="R275" s="60"/>
      <c r="S275" s="60" t="s">
        <v>932</v>
      </c>
      <c r="T275" s="60"/>
      <c r="U275" s="61" t="s">
        <v>743</v>
      </c>
    </row>
    <row r="276" spans="1:21" ht="54">
      <c r="A276" s="60" t="s">
        <v>966</v>
      </c>
      <c r="B276" s="60" t="s">
        <v>967</v>
      </c>
      <c r="C276" s="61" t="s">
        <v>49</v>
      </c>
      <c r="D276" s="61" t="s">
        <v>737</v>
      </c>
      <c r="E276" s="62" t="s">
        <v>19</v>
      </c>
      <c r="F276" s="57" t="s">
        <v>618</v>
      </c>
      <c r="G276" s="60" t="s">
        <v>968</v>
      </c>
      <c r="H276" s="60" t="s">
        <v>739</v>
      </c>
      <c r="I276" s="60"/>
      <c r="J276" s="58" t="s">
        <v>740</v>
      </c>
      <c r="K276" s="58" t="s">
        <v>54</v>
      </c>
      <c r="L276" s="58" t="s">
        <v>741</v>
      </c>
      <c r="M276" s="60"/>
      <c r="N276" s="65">
        <v>46176</v>
      </c>
      <c r="O276" s="60" t="s">
        <v>153</v>
      </c>
      <c r="P276" s="60"/>
      <c r="Q276" s="60" t="s">
        <v>82</v>
      </c>
      <c r="R276" s="60"/>
      <c r="S276" s="60" t="s">
        <v>932</v>
      </c>
      <c r="T276" s="60"/>
      <c r="U276" s="61" t="s">
        <v>61</v>
      </c>
    </row>
    <row r="277" spans="1:21" ht="67.5">
      <c r="A277" s="60" t="s">
        <v>969</v>
      </c>
      <c r="B277" s="60" t="s">
        <v>970</v>
      </c>
      <c r="C277" s="61" t="s">
        <v>49</v>
      </c>
      <c r="D277" s="61" t="s">
        <v>737</v>
      </c>
      <c r="E277" s="62" t="s">
        <v>19</v>
      </c>
      <c r="F277" s="57" t="s">
        <v>618</v>
      </c>
      <c r="G277" s="60" t="s">
        <v>971</v>
      </c>
      <c r="H277" s="60" t="s">
        <v>739</v>
      </c>
      <c r="I277" s="60"/>
      <c r="J277" s="58" t="s">
        <v>740</v>
      </c>
      <c r="K277" s="58" t="s">
        <v>54</v>
      </c>
      <c r="L277" s="58" t="s">
        <v>741</v>
      </c>
      <c r="M277" s="60"/>
      <c r="N277" s="65">
        <v>46176</v>
      </c>
      <c r="O277" s="60" t="s">
        <v>153</v>
      </c>
      <c r="P277" s="60"/>
      <c r="Q277" s="60" t="s">
        <v>82</v>
      </c>
      <c r="R277" s="60"/>
      <c r="S277" s="60" t="s">
        <v>966</v>
      </c>
      <c r="T277" s="60"/>
      <c r="U277" s="61" t="s">
        <v>61</v>
      </c>
    </row>
    <row r="278" spans="1:21" ht="81">
      <c r="A278" s="60" t="s">
        <v>972</v>
      </c>
      <c r="B278" s="60" t="s">
        <v>973</v>
      </c>
      <c r="C278" s="61" t="s">
        <v>49</v>
      </c>
      <c r="D278" s="61" t="s">
        <v>737</v>
      </c>
      <c r="E278" s="62" t="s">
        <v>19</v>
      </c>
      <c r="F278" s="57" t="s">
        <v>618</v>
      </c>
      <c r="G278" s="60" t="s">
        <v>974</v>
      </c>
      <c r="H278" s="60" t="s">
        <v>739</v>
      </c>
      <c r="I278" s="60"/>
      <c r="J278" s="58" t="s">
        <v>740</v>
      </c>
      <c r="K278" s="58" t="s">
        <v>54</v>
      </c>
      <c r="L278" s="58" t="s">
        <v>741</v>
      </c>
      <c r="M278" s="60"/>
      <c r="N278" s="65">
        <v>46176</v>
      </c>
      <c r="O278" s="60" t="s">
        <v>153</v>
      </c>
      <c r="P278" s="60"/>
      <c r="Q278" s="60" t="s">
        <v>82</v>
      </c>
      <c r="R278" s="60"/>
      <c r="S278" s="60" t="s">
        <v>966</v>
      </c>
      <c r="T278" s="60"/>
      <c r="U278" s="61" t="s">
        <v>61</v>
      </c>
    </row>
    <row r="279" spans="1:21" ht="81">
      <c r="A279" s="60" t="s">
        <v>975</v>
      </c>
      <c r="B279" s="60" t="s">
        <v>976</v>
      </c>
      <c r="C279" s="61" t="s">
        <v>49</v>
      </c>
      <c r="D279" s="61" t="s">
        <v>737</v>
      </c>
      <c r="E279" s="62" t="s">
        <v>19</v>
      </c>
      <c r="F279" s="57" t="s">
        <v>618</v>
      </c>
      <c r="G279" s="60" t="s">
        <v>977</v>
      </c>
      <c r="H279" s="60" t="s">
        <v>739</v>
      </c>
      <c r="I279" s="60"/>
      <c r="J279" s="58" t="s">
        <v>740</v>
      </c>
      <c r="K279" s="58" t="s">
        <v>54</v>
      </c>
      <c r="L279" s="58" t="s">
        <v>741</v>
      </c>
      <c r="M279" s="60"/>
      <c r="N279" s="65">
        <v>46176</v>
      </c>
      <c r="O279" s="60" t="s">
        <v>153</v>
      </c>
      <c r="P279" s="60"/>
      <c r="Q279" s="60" t="s">
        <v>82</v>
      </c>
      <c r="R279" s="60"/>
      <c r="S279" s="60" t="s">
        <v>966</v>
      </c>
      <c r="T279" s="60"/>
      <c r="U279" s="61" t="s">
        <v>61</v>
      </c>
    </row>
    <row r="280" spans="1:21" ht="67.5">
      <c r="A280" s="60" t="s">
        <v>978</v>
      </c>
      <c r="B280" s="60" t="s">
        <v>979</v>
      </c>
      <c r="C280" s="61" t="s">
        <v>49</v>
      </c>
      <c r="D280" s="61" t="s">
        <v>737</v>
      </c>
      <c r="E280" s="62" t="s">
        <v>19</v>
      </c>
      <c r="F280" s="57" t="s">
        <v>618</v>
      </c>
      <c r="G280" s="60" t="s">
        <v>980</v>
      </c>
      <c r="H280" s="60" t="s">
        <v>739</v>
      </c>
      <c r="I280" s="60"/>
      <c r="J280" s="58" t="s">
        <v>740</v>
      </c>
      <c r="K280" s="58" t="s">
        <v>54</v>
      </c>
      <c r="L280" s="58" t="s">
        <v>741</v>
      </c>
      <c r="M280" s="60"/>
      <c r="N280" s="65">
        <v>46176</v>
      </c>
      <c r="O280" s="60" t="s">
        <v>153</v>
      </c>
      <c r="P280" s="60"/>
      <c r="Q280" s="60" t="s">
        <v>89</v>
      </c>
      <c r="R280" s="60"/>
      <c r="S280" s="60" t="s">
        <v>932</v>
      </c>
      <c r="T280" s="60"/>
      <c r="U280" s="61" t="s">
        <v>61</v>
      </c>
    </row>
    <row r="281" spans="1:21" ht="54">
      <c r="A281" s="60" t="s">
        <v>981</v>
      </c>
      <c r="B281" s="60" t="s">
        <v>982</v>
      </c>
      <c r="C281" s="61" t="s">
        <v>49</v>
      </c>
      <c r="D281" s="61" t="s">
        <v>737</v>
      </c>
      <c r="E281" s="62" t="s">
        <v>19</v>
      </c>
      <c r="F281" s="57" t="s">
        <v>618</v>
      </c>
      <c r="G281" s="60" t="s">
        <v>983</v>
      </c>
      <c r="H281" s="60" t="s">
        <v>739</v>
      </c>
      <c r="I281" s="60"/>
      <c r="J281" s="58" t="s">
        <v>740</v>
      </c>
      <c r="K281" s="58" t="s">
        <v>54</v>
      </c>
      <c r="L281" s="58" t="s">
        <v>741</v>
      </c>
      <c r="M281" s="60"/>
      <c r="N281" s="65">
        <v>46176</v>
      </c>
      <c r="O281" s="60" t="s">
        <v>153</v>
      </c>
      <c r="P281" s="60"/>
      <c r="Q281" s="60" t="s">
        <v>89</v>
      </c>
      <c r="R281" s="60"/>
      <c r="S281" s="60" t="s">
        <v>978</v>
      </c>
      <c r="T281" s="60"/>
      <c r="U281" s="61" t="s">
        <v>61</v>
      </c>
    </row>
    <row r="282" spans="1:21" ht="81">
      <c r="A282" s="60" t="s">
        <v>984</v>
      </c>
      <c r="B282" s="60" t="s">
        <v>985</v>
      </c>
      <c r="C282" s="61" t="s">
        <v>49</v>
      </c>
      <c r="D282" s="61" t="s">
        <v>737</v>
      </c>
      <c r="E282" s="62" t="s">
        <v>19</v>
      </c>
      <c r="F282" s="57" t="s">
        <v>618</v>
      </c>
      <c r="G282" s="60" t="s">
        <v>986</v>
      </c>
      <c r="H282" s="60" t="s">
        <v>739</v>
      </c>
      <c r="I282" s="60"/>
      <c r="J282" s="58" t="s">
        <v>740</v>
      </c>
      <c r="K282" s="58" t="s">
        <v>54</v>
      </c>
      <c r="L282" s="58" t="s">
        <v>741</v>
      </c>
      <c r="M282" s="60"/>
      <c r="N282" s="65">
        <v>46183</v>
      </c>
      <c r="O282" s="60" t="s">
        <v>153</v>
      </c>
      <c r="P282" s="60"/>
      <c r="Q282" s="60" t="s">
        <v>89</v>
      </c>
      <c r="R282" s="60"/>
      <c r="S282" s="60" t="s">
        <v>981</v>
      </c>
      <c r="T282" s="60"/>
      <c r="U282" s="61" t="s">
        <v>61</v>
      </c>
    </row>
    <row r="283" spans="1:21" ht="54">
      <c r="A283" s="60" t="s">
        <v>987</v>
      </c>
      <c r="B283" s="60" t="s">
        <v>988</v>
      </c>
      <c r="C283" s="61" t="s">
        <v>49</v>
      </c>
      <c r="D283" s="61" t="s">
        <v>737</v>
      </c>
      <c r="E283" s="62" t="s">
        <v>19</v>
      </c>
      <c r="F283" s="57" t="s">
        <v>618</v>
      </c>
      <c r="G283" s="60" t="s">
        <v>989</v>
      </c>
      <c r="H283" s="60" t="s">
        <v>739</v>
      </c>
      <c r="I283" s="60"/>
      <c r="J283" s="58" t="s">
        <v>740</v>
      </c>
      <c r="K283" s="58" t="s">
        <v>54</v>
      </c>
      <c r="L283" s="58" t="s">
        <v>741</v>
      </c>
      <c r="M283" s="60"/>
      <c r="N283" s="65">
        <v>46183</v>
      </c>
      <c r="O283" s="60" t="s">
        <v>153</v>
      </c>
      <c r="P283" s="60"/>
      <c r="Q283" s="60" t="s">
        <v>89</v>
      </c>
      <c r="R283" s="60"/>
      <c r="S283" s="60" t="s">
        <v>929</v>
      </c>
      <c r="T283" s="60"/>
      <c r="U283" s="61" t="s">
        <v>61</v>
      </c>
    </row>
    <row r="284" spans="1:21" ht="81">
      <c r="A284" s="60" t="s">
        <v>990</v>
      </c>
      <c r="B284" s="60" t="s">
        <v>991</v>
      </c>
      <c r="C284" s="61" t="s">
        <v>49</v>
      </c>
      <c r="D284" s="61" t="s">
        <v>737</v>
      </c>
      <c r="E284" s="62" t="s">
        <v>18</v>
      </c>
      <c r="F284" s="57" t="s">
        <v>618</v>
      </c>
      <c r="G284" s="60" t="s">
        <v>992</v>
      </c>
      <c r="H284" s="60" t="s">
        <v>739</v>
      </c>
      <c r="I284" s="60"/>
      <c r="J284" s="58" t="s">
        <v>740</v>
      </c>
      <c r="K284" s="58" t="s">
        <v>54</v>
      </c>
      <c r="L284" s="58" t="s">
        <v>741</v>
      </c>
      <c r="M284" s="60"/>
      <c r="N284" s="65">
        <v>46184</v>
      </c>
      <c r="O284" s="60" t="s">
        <v>153</v>
      </c>
      <c r="P284" s="60"/>
      <c r="Q284" s="60" t="s">
        <v>82</v>
      </c>
      <c r="R284" s="60"/>
      <c r="S284" s="60" t="s">
        <v>993</v>
      </c>
      <c r="T284" s="60" t="s">
        <v>83</v>
      </c>
      <c r="U284" s="61" t="s">
        <v>61</v>
      </c>
    </row>
    <row r="285" spans="1:21" ht="54">
      <c r="A285" s="60" t="s">
        <v>994</v>
      </c>
      <c r="B285" s="60" t="s">
        <v>995</v>
      </c>
      <c r="C285" s="61" t="s">
        <v>49</v>
      </c>
      <c r="D285" s="61" t="s">
        <v>737</v>
      </c>
      <c r="E285" s="62" t="s">
        <v>19</v>
      </c>
      <c r="F285" s="57" t="s">
        <v>618</v>
      </c>
      <c r="G285" s="60" t="s">
        <v>996</v>
      </c>
      <c r="H285" s="60" t="s">
        <v>739</v>
      </c>
      <c r="I285" s="60"/>
      <c r="J285" s="58" t="s">
        <v>740</v>
      </c>
      <c r="K285" s="58" t="s">
        <v>54</v>
      </c>
      <c r="L285" s="58" t="s">
        <v>741</v>
      </c>
      <c r="M285" s="60"/>
      <c r="N285" s="65">
        <v>46185</v>
      </c>
      <c r="O285" s="60" t="s">
        <v>153</v>
      </c>
      <c r="P285" s="60"/>
      <c r="Q285" s="60" t="s">
        <v>82</v>
      </c>
      <c r="R285" s="60"/>
      <c r="S285" s="60" t="s">
        <v>993</v>
      </c>
      <c r="T285" s="60" t="s">
        <v>83</v>
      </c>
      <c r="U285" s="61" t="s">
        <v>61</v>
      </c>
    </row>
    <row r="286" spans="1:21" ht="84" customHeight="1">
      <c r="A286" s="60" t="s">
        <v>997</v>
      </c>
      <c r="B286" s="60" t="s">
        <v>998</v>
      </c>
      <c r="C286" s="61" t="s">
        <v>49</v>
      </c>
      <c r="D286" s="61" t="s">
        <v>737</v>
      </c>
      <c r="E286" s="62" t="s">
        <v>18</v>
      </c>
      <c r="F286" s="57" t="s">
        <v>618</v>
      </c>
      <c r="G286" s="60" t="s">
        <v>999</v>
      </c>
      <c r="H286" s="60" t="s">
        <v>739</v>
      </c>
      <c r="I286" s="60"/>
      <c r="J286" s="58" t="s">
        <v>740</v>
      </c>
      <c r="K286" s="58" t="s">
        <v>54</v>
      </c>
      <c r="L286" s="58" t="s">
        <v>741</v>
      </c>
      <c r="M286" s="60"/>
      <c r="N286" s="65">
        <v>46185</v>
      </c>
      <c r="O286" s="60" t="s">
        <v>153</v>
      </c>
      <c r="P286" s="60"/>
      <c r="Q286" s="60" t="s">
        <v>82</v>
      </c>
      <c r="R286" s="60"/>
      <c r="S286" s="60" t="s">
        <v>994</v>
      </c>
      <c r="T286" s="60" t="s">
        <v>83</v>
      </c>
      <c r="U286" s="61" t="s">
        <v>61</v>
      </c>
    </row>
    <row r="287" spans="1:21" ht="94.5">
      <c r="A287" s="60" t="s">
        <v>1000</v>
      </c>
      <c r="B287" s="60" t="s">
        <v>1001</v>
      </c>
      <c r="C287" s="61" t="s">
        <v>49</v>
      </c>
      <c r="D287" s="61" t="s">
        <v>737</v>
      </c>
      <c r="E287" s="62" t="s">
        <v>19</v>
      </c>
      <c r="F287" s="57" t="s">
        <v>618</v>
      </c>
      <c r="G287" s="60" t="s">
        <v>1002</v>
      </c>
      <c r="H287" s="60" t="s">
        <v>739</v>
      </c>
      <c r="I287" s="60"/>
      <c r="J287" s="58" t="s">
        <v>740</v>
      </c>
      <c r="K287" s="58" t="s">
        <v>54</v>
      </c>
      <c r="L287" s="58" t="s">
        <v>741</v>
      </c>
      <c r="M287" s="60"/>
      <c r="N287" s="65">
        <v>46185</v>
      </c>
      <c r="O287" s="60" t="s">
        <v>153</v>
      </c>
      <c r="P287" s="60"/>
      <c r="Q287" s="60" t="s">
        <v>82</v>
      </c>
      <c r="R287" s="60"/>
      <c r="S287" s="60" t="s">
        <v>994</v>
      </c>
      <c r="T287" s="60" t="s">
        <v>119</v>
      </c>
      <c r="U287" s="61" t="s">
        <v>768</v>
      </c>
    </row>
    <row r="288" spans="1:21" ht="81">
      <c r="A288" s="60" t="s">
        <v>1003</v>
      </c>
      <c r="B288" s="60" t="s">
        <v>1004</v>
      </c>
      <c r="C288" s="61" t="s">
        <v>49</v>
      </c>
      <c r="D288" s="61" t="s">
        <v>737</v>
      </c>
      <c r="E288" s="62" t="s">
        <v>18</v>
      </c>
      <c r="F288" s="57" t="s">
        <v>618</v>
      </c>
      <c r="G288" s="60" t="s">
        <v>1005</v>
      </c>
      <c r="H288" s="60" t="s">
        <v>739</v>
      </c>
      <c r="I288" s="60"/>
      <c r="J288" s="58" t="s">
        <v>740</v>
      </c>
      <c r="K288" s="58" t="s">
        <v>54</v>
      </c>
      <c r="L288" s="58" t="s">
        <v>741</v>
      </c>
      <c r="M288" s="60"/>
      <c r="N288" s="65">
        <v>46185</v>
      </c>
      <c r="O288" s="60" t="s">
        <v>153</v>
      </c>
      <c r="P288" s="60"/>
      <c r="Q288" s="60" t="s">
        <v>82</v>
      </c>
      <c r="R288" s="60"/>
      <c r="S288" s="60" t="s">
        <v>993</v>
      </c>
      <c r="T288" s="60" t="s">
        <v>141</v>
      </c>
      <c r="U288" s="61" t="s">
        <v>61</v>
      </c>
    </row>
    <row r="289" spans="1:21" ht="54">
      <c r="A289" s="60" t="s">
        <v>1006</v>
      </c>
      <c r="B289" s="60" t="s">
        <v>1007</v>
      </c>
      <c r="C289" s="61" t="s">
        <v>49</v>
      </c>
      <c r="D289" s="61" t="s">
        <v>737</v>
      </c>
      <c r="E289" s="62" t="s">
        <v>19</v>
      </c>
      <c r="F289" s="57" t="s">
        <v>618</v>
      </c>
      <c r="G289" s="60" t="s">
        <v>1008</v>
      </c>
      <c r="H289" s="60" t="s">
        <v>739</v>
      </c>
      <c r="I289" s="60"/>
      <c r="J289" s="58" t="s">
        <v>740</v>
      </c>
      <c r="K289" s="58" t="s">
        <v>54</v>
      </c>
      <c r="L289" s="58" t="s">
        <v>741</v>
      </c>
      <c r="M289" s="60"/>
      <c r="N289" s="65">
        <v>46185</v>
      </c>
      <c r="O289" s="60" t="s">
        <v>153</v>
      </c>
      <c r="P289" s="60"/>
      <c r="Q289" s="60" t="s">
        <v>82</v>
      </c>
      <c r="R289" s="60"/>
      <c r="S289" s="60" t="s">
        <v>993</v>
      </c>
      <c r="T289" s="60" t="s">
        <v>119</v>
      </c>
      <c r="U289" s="61" t="s">
        <v>61</v>
      </c>
    </row>
    <row r="290" spans="1:21" ht="89.25" customHeight="1">
      <c r="A290" s="60" t="s">
        <v>1009</v>
      </c>
      <c r="B290" s="60" t="s">
        <v>1010</v>
      </c>
      <c r="C290" s="61" t="s">
        <v>49</v>
      </c>
      <c r="D290" s="61" t="s">
        <v>737</v>
      </c>
      <c r="E290" s="62" t="s">
        <v>18</v>
      </c>
      <c r="F290" s="57" t="s">
        <v>618</v>
      </c>
      <c r="G290" s="60" t="s">
        <v>1011</v>
      </c>
      <c r="H290" s="60" t="s">
        <v>739</v>
      </c>
      <c r="I290" s="60"/>
      <c r="J290" s="58" t="s">
        <v>740</v>
      </c>
      <c r="K290" s="58" t="s">
        <v>54</v>
      </c>
      <c r="L290" s="58" t="s">
        <v>741</v>
      </c>
      <c r="M290" s="60"/>
      <c r="N290" s="65">
        <v>46185</v>
      </c>
      <c r="O290" s="60" t="s">
        <v>153</v>
      </c>
      <c r="P290" s="60"/>
      <c r="Q290" s="60" t="s">
        <v>82</v>
      </c>
      <c r="R290" s="60"/>
      <c r="S290" s="60" t="s">
        <v>990</v>
      </c>
      <c r="T290" s="60" t="s">
        <v>119</v>
      </c>
      <c r="U290" s="61" t="s">
        <v>768</v>
      </c>
    </row>
    <row r="291" spans="1:21" ht="81">
      <c r="A291" s="60" t="s">
        <v>1012</v>
      </c>
      <c r="B291" s="60" t="s">
        <v>1013</v>
      </c>
      <c r="C291" s="61" t="s">
        <v>49</v>
      </c>
      <c r="D291" s="61" t="s">
        <v>737</v>
      </c>
      <c r="E291" s="62" t="s">
        <v>18</v>
      </c>
      <c r="F291" s="57" t="s">
        <v>618</v>
      </c>
      <c r="G291" s="60" t="s">
        <v>1014</v>
      </c>
      <c r="H291" s="60" t="s">
        <v>739</v>
      </c>
      <c r="I291" s="60"/>
      <c r="J291" s="58" t="s">
        <v>740</v>
      </c>
      <c r="K291" s="58" t="s">
        <v>54</v>
      </c>
      <c r="L291" s="58" t="s">
        <v>741</v>
      </c>
      <c r="M291" s="60"/>
      <c r="N291" s="65">
        <v>46185</v>
      </c>
      <c r="O291" s="60" t="s">
        <v>153</v>
      </c>
      <c r="P291" s="60"/>
      <c r="Q291" s="60" t="s">
        <v>82</v>
      </c>
      <c r="R291" s="60"/>
      <c r="S291" s="60" t="s">
        <v>997</v>
      </c>
      <c r="T291" s="60" t="s">
        <v>83</v>
      </c>
      <c r="U291" s="61" t="s">
        <v>768</v>
      </c>
    </row>
    <row r="292" spans="1:21" ht="67.5">
      <c r="A292" s="60" t="s">
        <v>1015</v>
      </c>
      <c r="B292" s="60" t="s">
        <v>1016</v>
      </c>
      <c r="C292" s="61" t="s">
        <v>49</v>
      </c>
      <c r="D292" s="61" t="s">
        <v>737</v>
      </c>
      <c r="E292" s="62" t="s">
        <v>18</v>
      </c>
      <c r="F292" s="57" t="s">
        <v>618</v>
      </c>
      <c r="G292" s="60" t="s">
        <v>1017</v>
      </c>
      <c r="H292" s="60" t="s">
        <v>739</v>
      </c>
      <c r="I292" s="60"/>
      <c r="J292" s="58" t="s">
        <v>740</v>
      </c>
      <c r="K292" s="58" t="s">
        <v>54</v>
      </c>
      <c r="L292" s="58" t="s">
        <v>741</v>
      </c>
      <c r="M292" s="60"/>
      <c r="N292" s="65">
        <v>46218</v>
      </c>
      <c r="O292" s="60" t="s">
        <v>153</v>
      </c>
      <c r="P292" s="60"/>
      <c r="Q292" s="60" t="s">
        <v>82</v>
      </c>
      <c r="R292" s="60"/>
      <c r="S292" s="60" t="s">
        <v>997</v>
      </c>
      <c r="T292" s="60" t="s">
        <v>119</v>
      </c>
      <c r="U292" s="61" t="s">
        <v>768</v>
      </c>
    </row>
    <row r="293" spans="1:21" ht="81">
      <c r="A293" s="60" t="s">
        <v>1018</v>
      </c>
      <c r="B293" s="60" t="s">
        <v>1019</v>
      </c>
      <c r="C293" s="61" t="s">
        <v>49</v>
      </c>
      <c r="D293" s="61" t="s">
        <v>737</v>
      </c>
      <c r="E293" s="62" t="s">
        <v>19</v>
      </c>
      <c r="F293" s="57" t="s">
        <v>618</v>
      </c>
      <c r="G293" s="60" t="s">
        <v>1020</v>
      </c>
      <c r="H293" s="60" t="s">
        <v>739</v>
      </c>
      <c r="I293" s="60"/>
      <c r="J293" s="58" t="s">
        <v>740</v>
      </c>
      <c r="K293" s="58" t="s">
        <v>54</v>
      </c>
      <c r="L293" s="58" t="s">
        <v>741</v>
      </c>
      <c r="M293" s="60"/>
      <c r="N293" s="65">
        <v>46218</v>
      </c>
      <c r="O293" s="60" t="s">
        <v>153</v>
      </c>
      <c r="P293" s="60"/>
      <c r="Q293" s="60" t="s">
        <v>82</v>
      </c>
      <c r="R293" s="60"/>
      <c r="S293" s="60" t="s">
        <v>1015</v>
      </c>
      <c r="T293" s="60" t="s">
        <v>141</v>
      </c>
      <c r="U293" s="61" t="s">
        <v>768</v>
      </c>
    </row>
    <row r="294" spans="1:21" ht="81">
      <c r="A294" s="60" t="s">
        <v>1021</v>
      </c>
      <c r="B294" s="60" t="s">
        <v>1022</v>
      </c>
      <c r="C294" s="61" t="s">
        <v>49</v>
      </c>
      <c r="D294" s="61" t="s">
        <v>737</v>
      </c>
      <c r="E294" s="62" t="s">
        <v>19</v>
      </c>
      <c r="F294" s="57" t="s">
        <v>618</v>
      </c>
      <c r="G294" s="60" t="s">
        <v>1023</v>
      </c>
      <c r="H294" s="60" t="s">
        <v>739</v>
      </c>
      <c r="I294" s="60"/>
      <c r="J294" s="58" t="s">
        <v>740</v>
      </c>
      <c r="K294" s="58" t="s">
        <v>54</v>
      </c>
      <c r="L294" s="58" t="s">
        <v>741</v>
      </c>
      <c r="M294" s="60"/>
      <c r="N294" s="65">
        <v>46218</v>
      </c>
      <c r="O294" s="60" t="s">
        <v>153</v>
      </c>
      <c r="P294" s="60"/>
      <c r="Q294" s="60" t="s">
        <v>82</v>
      </c>
      <c r="R294" s="60"/>
      <c r="S294" s="60" t="s">
        <v>997</v>
      </c>
      <c r="T294" s="60" t="s">
        <v>119</v>
      </c>
      <c r="U294" s="61" t="s">
        <v>768</v>
      </c>
    </row>
    <row r="295" spans="1:21" ht="68.25" customHeight="1">
      <c r="A295" s="60" t="s">
        <v>1024</v>
      </c>
      <c r="B295" s="60" t="s">
        <v>1025</v>
      </c>
      <c r="C295" s="61" t="s">
        <v>49</v>
      </c>
      <c r="D295" s="61" t="s">
        <v>737</v>
      </c>
      <c r="E295" s="62" t="s">
        <v>19</v>
      </c>
      <c r="F295" s="57" t="s">
        <v>618</v>
      </c>
      <c r="G295" s="60" t="s">
        <v>1026</v>
      </c>
      <c r="H295" s="60" t="s">
        <v>739</v>
      </c>
      <c r="I295" s="60"/>
      <c r="J295" s="58" t="s">
        <v>740</v>
      </c>
      <c r="K295" s="58" t="s">
        <v>54</v>
      </c>
      <c r="L295" s="58" t="s">
        <v>741</v>
      </c>
      <c r="M295" s="60"/>
      <c r="N295" s="65">
        <v>46218</v>
      </c>
      <c r="O295" s="60" t="s">
        <v>153</v>
      </c>
      <c r="P295" s="60"/>
      <c r="Q295" s="60" t="s">
        <v>89</v>
      </c>
      <c r="R295" s="60"/>
      <c r="S295" s="60" t="s">
        <v>993</v>
      </c>
      <c r="T295" s="60" t="s">
        <v>83</v>
      </c>
      <c r="U295" s="61" t="s">
        <v>61</v>
      </c>
    </row>
    <row r="296" spans="1:21" ht="94.5">
      <c r="A296" s="60" t="s">
        <v>1027</v>
      </c>
      <c r="B296" s="60" t="s">
        <v>1028</v>
      </c>
      <c r="C296" s="61" t="s">
        <v>49</v>
      </c>
      <c r="D296" s="61" t="s">
        <v>737</v>
      </c>
      <c r="E296" s="62" t="s">
        <v>19</v>
      </c>
      <c r="F296" s="57" t="s">
        <v>618</v>
      </c>
      <c r="G296" s="60" t="s">
        <v>1029</v>
      </c>
      <c r="H296" s="60" t="s">
        <v>739</v>
      </c>
      <c r="I296" s="60"/>
      <c r="J296" s="58" t="s">
        <v>740</v>
      </c>
      <c r="K296" s="58" t="s">
        <v>54</v>
      </c>
      <c r="L296" s="58" t="s">
        <v>741</v>
      </c>
      <c r="M296" s="60"/>
      <c r="N296" s="65">
        <v>46218</v>
      </c>
      <c r="O296" s="60" t="s">
        <v>153</v>
      </c>
      <c r="P296" s="60"/>
      <c r="Q296" s="60" t="s">
        <v>89</v>
      </c>
      <c r="R296" s="60"/>
      <c r="S296" s="60" t="s">
        <v>993</v>
      </c>
      <c r="T296" s="60" t="s">
        <v>83</v>
      </c>
      <c r="U296" s="61" t="s">
        <v>61</v>
      </c>
    </row>
    <row r="297" spans="1:21" ht="81">
      <c r="A297" s="60" t="s">
        <v>1030</v>
      </c>
      <c r="B297" s="60" t="s">
        <v>1031</v>
      </c>
      <c r="C297" s="61" t="s">
        <v>49</v>
      </c>
      <c r="D297" s="61" t="s">
        <v>737</v>
      </c>
      <c r="E297" s="62" t="s">
        <v>19</v>
      </c>
      <c r="F297" s="57" t="s">
        <v>618</v>
      </c>
      <c r="G297" s="60" t="s">
        <v>1032</v>
      </c>
      <c r="H297" s="60" t="s">
        <v>739</v>
      </c>
      <c r="I297" s="60"/>
      <c r="J297" s="58" t="s">
        <v>740</v>
      </c>
      <c r="K297" s="58" t="s">
        <v>54</v>
      </c>
      <c r="L297" s="58" t="s">
        <v>741</v>
      </c>
      <c r="M297" s="60"/>
      <c r="N297" s="65">
        <v>46218</v>
      </c>
      <c r="O297" s="60" t="s">
        <v>153</v>
      </c>
      <c r="P297" s="60"/>
      <c r="Q297" s="60" t="s">
        <v>89</v>
      </c>
      <c r="R297" s="60"/>
      <c r="S297" s="60" t="s">
        <v>993</v>
      </c>
      <c r="T297" s="60" t="s">
        <v>119</v>
      </c>
      <c r="U297" s="61" t="s">
        <v>61</v>
      </c>
    </row>
    <row r="298" spans="1:21" ht="81">
      <c r="A298" s="60" t="s">
        <v>1033</v>
      </c>
      <c r="B298" s="60" t="s">
        <v>1034</v>
      </c>
      <c r="C298" s="61" t="s">
        <v>49</v>
      </c>
      <c r="D298" s="61" t="s">
        <v>737</v>
      </c>
      <c r="E298" s="62" t="s">
        <v>21</v>
      </c>
      <c r="F298" s="57" t="s">
        <v>618</v>
      </c>
      <c r="G298" s="60" t="s">
        <v>1035</v>
      </c>
      <c r="H298" s="60" t="s">
        <v>739</v>
      </c>
      <c r="I298" s="60"/>
      <c r="J298" s="58" t="s">
        <v>740</v>
      </c>
      <c r="K298" s="58" t="s">
        <v>54</v>
      </c>
      <c r="L298" s="58" t="s">
        <v>741</v>
      </c>
      <c r="M298" s="60"/>
      <c r="N298" s="65">
        <v>46218</v>
      </c>
      <c r="O298" s="60" t="s">
        <v>153</v>
      </c>
      <c r="P298" s="60"/>
      <c r="Q298" s="60" t="s">
        <v>59</v>
      </c>
      <c r="R298" s="60"/>
      <c r="S298" s="60" t="s">
        <v>1027</v>
      </c>
      <c r="T298" s="60" t="s">
        <v>60</v>
      </c>
      <c r="U298" s="61" t="s">
        <v>61</v>
      </c>
    </row>
    <row r="299" spans="1:21" ht="81">
      <c r="A299" s="60" t="s">
        <v>1036</v>
      </c>
      <c r="B299" s="60" t="s">
        <v>1037</v>
      </c>
      <c r="C299" s="61" t="s">
        <v>49</v>
      </c>
      <c r="D299" s="61" t="s">
        <v>737</v>
      </c>
      <c r="E299" s="62" t="s">
        <v>21</v>
      </c>
      <c r="F299" s="57" t="s">
        <v>618</v>
      </c>
      <c r="G299" s="60" t="s">
        <v>1038</v>
      </c>
      <c r="H299" s="60" t="s">
        <v>739</v>
      </c>
      <c r="I299" s="60"/>
      <c r="J299" s="58" t="s">
        <v>740</v>
      </c>
      <c r="K299" s="58" t="s">
        <v>54</v>
      </c>
      <c r="L299" s="58" t="s">
        <v>741</v>
      </c>
      <c r="M299" s="60"/>
      <c r="N299" s="65">
        <v>46220</v>
      </c>
      <c r="O299" s="60" t="s">
        <v>153</v>
      </c>
      <c r="P299" s="60"/>
      <c r="Q299" s="60" t="s">
        <v>89</v>
      </c>
      <c r="R299" s="60"/>
      <c r="S299" s="60" t="s">
        <v>993</v>
      </c>
      <c r="T299" s="60" t="s">
        <v>83</v>
      </c>
      <c r="U299" s="61" t="s">
        <v>61</v>
      </c>
    </row>
    <row r="300" spans="1:21" ht="94.5">
      <c r="A300" s="60" t="s">
        <v>1039</v>
      </c>
      <c r="B300" s="60" t="s">
        <v>1040</v>
      </c>
      <c r="C300" s="61" t="s">
        <v>49</v>
      </c>
      <c r="D300" s="61" t="s">
        <v>737</v>
      </c>
      <c r="E300" s="62" t="s">
        <v>19</v>
      </c>
      <c r="F300" s="57" t="s">
        <v>618</v>
      </c>
      <c r="G300" s="60" t="s">
        <v>1041</v>
      </c>
      <c r="H300" s="60" t="s">
        <v>739</v>
      </c>
      <c r="I300" s="60"/>
      <c r="J300" s="58" t="s">
        <v>740</v>
      </c>
      <c r="K300" s="58" t="s">
        <v>54</v>
      </c>
      <c r="L300" s="58" t="s">
        <v>741</v>
      </c>
      <c r="M300" s="60"/>
      <c r="N300" s="65">
        <v>46220</v>
      </c>
      <c r="O300" s="60" t="s">
        <v>153</v>
      </c>
      <c r="P300" s="60"/>
      <c r="Q300" s="60" t="s">
        <v>89</v>
      </c>
      <c r="R300" s="60"/>
      <c r="S300" s="60" t="s">
        <v>990</v>
      </c>
      <c r="T300" s="60" t="s">
        <v>60</v>
      </c>
      <c r="U300" s="61" t="s">
        <v>61</v>
      </c>
    </row>
    <row r="301" spans="1:21" ht="54">
      <c r="A301" s="60" t="s">
        <v>1042</v>
      </c>
      <c r="B301" s="60" t="s">
        <v>1043</v>
      </c>
      <c r="C301" s="61" t="s">
        <v>49</v>
      </c>
      <c r="D301" s="61" t="s">
        <v>737</v>
      </c>
      <c r="E301" s="62" t="s">
        <v>19</v>
      </c>
      <c r="F301" s="57" t="s">
        <v>618</v>
      </c>
      <c r="G301" s="60" t="s">
        <v>1044</v>
      </c>
      <c r="H301" s="60" t="s">
        <v>739</v>
      </c>
      <c r="I301" s="60"/>
      <c r="J301" s="58" t="s">
        <v>740</v>
      </c>
      <c r="K301" s="58" t="s">
        <v>54</v>
      </c>
      <c r="L301" s="58" t="s">
        <v>741</v>
      </c>
      <c r="M301" s="60"/>
      <c r="N301" s="65">
        <v>46220</v>
      </c>
      <c r="O301" s="60" t="s">
        <v>153</v>
      </c>
      <c r="P301" s="60"/>
      <c r="Q301" s="60" t="s">
        <v>89</v>
      </c>
      <c r="R301" s="60"/>
      <c r="S301" s="60" t="s">
        <v>1027</v>
      </c>
      <c r="T301" s="60" t="s">
        <v>60</v>
      </c>
      <c r="U301" s="61" t="s">
        <v>61</v>
      </c>
    </row>
    <row r="302" spans="1:21" ht="94.5">
      <c r="A302" s="60" t="s">
        <v>1045</v>
      </c>
      <c r="B302" s="60" t="s">
        <v>1046</v>
      </c>
      <c r="C302" s="61" t="s">
        <v>49</v>
      </c>
      <c r="D302" s="61" t="s">
        <v>737</v>
      </c>
      <c r="E302" s="62" t="s">
        <v>19</v>
      </c>
      <c r="F302" s="57" t="s">
        <v>618</v>
      </c>
      <c r="G302" s="60" t="s">
        <v>1047</v>
      </c>
      <c r="H302" s="60" t="s">
        <v>739</v>
      </c>
      <c r="I302" s="60"/>
      <c r="J302" s="58" t="s">
        <v>740</v>
      </c>
      <c r="K302" s="58" t="s">
        <v>54</v>
      </c>
      <c r="L302" s="58" t="s">
        <v>741</v>
      </c>
      <c r="M302" s="60"/>
      <c r="N302" s="65">
        <v>46220</v>
      </c>
      <c r="O302" s="60" t="s">
        <v>153</v>
      </c>
      <c r="P302" s="60"/>
      <c r="Q302" s="60" t="s">
        <v>89</v>
      </c>
      <c r="R302" s="60"/>
      <c r="S302" s="60" t="s">
        <v>1042</v>
      </c>
      <c r="T302" s="60" t="s">
        <v>83</v>
      </c>
      <c r="U302" s="61" t="s">
        <v>61</v>
      </c>
    </row>
    <row r="303" spans="1:21" ht="94.5">
      <c r="A303" s="60" t="s">
        <v>1048</v>
      </c>
      <c r="B303" s="60" t="s">
        <v>1049</v>
      </c>
      <c r="C303" s="61" t="s">
        <v>49</v>
      </c>
      <c r="D303" s="61" t="s">
        <v>737</v>
      </c>
      <c r="E303" s="62" t="s">
        <v>19</v>
      </c>
      <c r="F303" s="57" t="s">
        <v>618</v>
      </c>
      <c r="G303" s="60" t="s">
        <v>1050</v>
      </c>
      <c r="H303" s="60" t="s">
        <v>739</v>
      </c>
      <c r="I303" s="60"/>
      <c r="J303" s="58" t="s">
        <v>740</v>
      </c>
      <c r="K303" s="58" t="s">
        <v>54</v>
      </c>
      <c r="L303" s="58" t="s">
        <v>741</v>
      </c>
      <c r="M303" s="60"/>
      <c r="N303" s="65">
        <v>46220</v>
      </c>
      <c r="O303" s="60" t="s">
        <v>153</v>
      </c>
      <c r="P303" s="60"/>
      <c r="Q303" s="60" t="s">
        <v>89</v>
      </c>
      <c r="R303" s="60"/>
      <c r="S303" s="60" t="s">
        <v>1045</v>
      </c>
      <c r="T303" s="60" t="s">
        <v>83</v>
      </c>
      <c r="U303" s="61" t="s">
        <v>61</v>
      </c>
    </row>
    <row r="304" spans="1:21" ht="101.25" customHeight="1">
      <c r="A304" s="60" t="s">
        <v>1051</v>
      </c>
      <c r="B304" s="60" t="s">
        <v>1052</v>
      </c>
      <c r="C304" s="61" t="s">
        <v>49</v>
      </c>
      <c r="D304" s="61" t="s">
        <v>737</v>
      </c>
      <c r="E304" s="62" t="s">
        <v>19</v>
      </c>
      <c r="F304" s="57" t="s">
        <v>618</v>
      </c>
      <c r="G304" s="60" t="s">
        <v>1053</v>
      </c>
      <c r="H304" s="60" t="s">
        <v>739</v>
      </c>
      <c r="I304" s="60"/>
      <c r="J304" s="58" t="s">
        <v>740</v>
      </c>
      <c r="K304" s="58" t="s">
        <v>54</v>
      </c>
      <c r="L304" s="58" t="s">
        <v>741</v>
      </c>
      <c r="M304" s="60"/>
      <c r="N304" s="65">
        <v>46220</v>
      </c>
      <c r="O304" s="60" t="s">
        <v>153</v>
      </c>
      <c r="P304" s="60"/>
      <c r="Q304" s="60" t="s">
        <v>89</v>
      </c>
      <c r="R304" s="60"/>
      <c r="S304" s="60" t="s">
        <v>1045</v>
      </c>
      <c r="T304" s="60" t="s">
        <v>83</v>
      </c>
      <c r="U304" s="61" t="s">
        <v>61</v>
      </c>
    </row>
    <row r="305" spans="1:21" ht="81">
      <c r="A305" s="60" t="s">
        <v>1054</v>
      </c>
      <c r="B305" s="60" t="s">
        <v>1055</v>
      </c>
      <c r="C305" s="61" t="s">
        <v>49</v>
      </c>
      <c r="D305" s="61" t="s">
        <v>737</v>
      </c>
      <c r="E305" s="62" t="s">
        <v>19</v>
      </c>
      <c r="F305" s="57" t="s">
        <v>618</v>
      </c>
      <c r="G305" s="60" t="s">
        <v>1056</v>
      </c>
      <c r="H305" s="60" t="s">
        <v>739</v>
      </c>
      <c r="I305" s="60"/>
      <c r="J305" s="58" t="s">
        <v>740</v>
      </c>
      <c r="K305" s="58" t="s">
        <v>54</v>
      </c>
      <c r="L305" s="58" t="s">
        <v>741</v>
      </c>
      <c r="M305" s="60"/>
      <c r="N305" s="65">
        <v>46220</v>
      </c>
      <c r="O305" s="60" t="s">
        <v>153</v>
      </c>
      <c r="P305" s="60"/>
      <c r="Q305" s="60" t="s">
        <v>82</v>
      </c>
      <c r="R305" s="60"/>
      <c r="S305" s="60" t="s">
        <v>994</v>
      </c>
      <c r="T305" s="60" t="s">
        <v>83</v>
      </c>
      <c r="U305" s="61" t="s">
        <v>61</v>
      </c>
    </row>
    <row r="306" spans="1:21" ht="81">
      <c r="A306" s="60" t="s">
        <v>1057</v>
      </c>
      <c r="B306" s="60" t="s">
        <v>1058</v>
      </c>
      <c r="C306" s="61" t="s">
        <v>49</v>
      </c>
      <c r="D306" s="61" t="s">
        <v>737</v>
      </c>
      <c r="E306" s="62" t="s">
        <v>19</v>
      </c>
      <c r="F306" s="57" t="s">
        <v>618</v>
      </c>
      <c r="G306" s="60" t="s">
        <v>1059</v>
      </c>
      <c r="H306" s="60" t="s">
        <v>739</v>
      </c>
      <c r="I306" s="60"/>
      <c r="J306" s="58" t="s">
        <v>740</v>
      </c>
      <c r="K306" s="58" t="s">
        <v>54</v>
      </c>
      <c r="L306" s="58" t="s">
        <v>741</v>
      </c>
      <c r="M306" s="60"/>
      <c r="N306" s="65">
        <v>46220</v>
      </c>
      <c r="O306" s="60" t="s">
        <v>153</v>
      </c>
      <c r="P306" s="60"/>
      <c r="Q306" s="60" t="s">
        <v>82</v>
      </c>
      <c r="R306" s="60"/>
      <c r="S306" s="60" t="s">
        <v>997</v>
      </c>
      <c r="T306" s="60" t="s">
        <v>83</v>
      </c>
      <c r="U306" s="61" t="s">
        <v>61</v>
      </c>
    </row>
    <row r="307" spans="1:21" ht="67.5">
      <c r="A307" s="60" t="s">
        <v>1060</v>
      </c>
      <c r="B307" s="60" t="s">
        <v>1061</v>
      </c>
      <c r="C307" s="61" t="s">
        <v>49</v>
      </c>
      <c r="D307" s="61" t="s">
        <v>737</v>
      </c>
      <c r="E307" s="62" t="s">
        <v>21</v>
      </c>
      <c r="F307" s="57" t="s">
        <v>618</v>
      </c>
      <c r="G307" s="60" t="s">
        <v>1062</v>
      </c>
      <c r="H307" s="60" t="s">
        <v>739</v>
      </c>
      <c r="I307" s="60"/>
      <c r="J307" s="58" t="s">
        <v>740</v>
      </c>
      <c r="K307" s="58" t="s">
        <v>54</v>
      </c>
      <c r="L307" s="58" t="s">
        <v>741</v>
      </c>
      <c r="M307" s="60"/>
      <c r="N307" s="65">
        <v>46220</v>
      </c>
      <c r="O307" s="60" t="s">
        <v>153</v>
      </c>
      <c r="P307" s="60"/>
      <c r="Q307" s="60" t="s">
        <v>89</v>
      </c>
      <c r="R307" s="60"/>
      <c r="S307" s="60" t="s">
        <v>1060</v>
      </c>
      <c r="T307" s="60" t="s">
        <v>60</v>
      </c>
      <c r="U307" s="61" t="s">
        <v>61</v>
      </c>
    </row>
    <row r="308" spans="1:21" ht="81">
      <c r="A308" s="60" t="s">
        <v>1063</v>
      </c>
      <c r="B308" s="60" t="s">
        <v>1064</v>
      </c>
      <c r="C308" s="61" t="s">
        <v>49</v>
      </c>
      <c r="D308" s="61" t="s">
        <v>737</v>
      </c>
      <c r="E308" s="62" t="s">
        <v>19</v>
      </c>
      <c r="F308" s="57" t="s">
        <v>618</v>
      </c>
      <c r="G308" s="60" t="s">
        <v>1065</v>
      </c>
      <c r="H308" s="60" t="s">
        <v>739</v>
      </c>
      <c r="I308" s="60"/>
      <c r="J308" s="58" t="s">
        <v>740</v>
      </c>
      <c r="K308" s="58" t="s">
        <v>54</v>
      </c>
      <c r="L308" s="58" t="s">
        <v>741</v>
      </c>
      <c r="M308" s="60"/>
      <c r="N308" s="65">
        <v>46220</v>
      </c>
      <c r="O308" s="60" t="s">
        <v>153</v>
      </c>
      <c r="P308" s="60"/>
      <c r="Q308" s="60" t="s">
        <v>82</v>
      </c>
      <c r="R308" s="60"/>
      <c r="S308" s="60" t="s">
        <v>997</v>
      </c>
      <c r="T308" s="60" t="s">
        <v>83</v>
      </c>
      <c r="U308" s="61" t="s">
        <v>61</v>
      </c>
    </row>
    <row r="309" spans="1:21" ht="67.5">
      <c r="A309" s="60" t="s">
        <v>1066</v>
      </c>
      <c r="B309" s="60" t="s">
        <v>1067</v>
      </c>
      <c r="C309" s="61" t="s">
        <v>49</v>
      </c>
      <c r="D309" s="61" t="s">
        <v>737</v>
      </c>
      <c r="E309" s="62" t="s">
        <v>21</v>
      </c>
      <c r="F309" s="57" t="s">
        <v>618</v>
      </c>
      <c r="G309" s="60" t="s">
        <v>1068</v>
      </c>
      <c r="H309" s="60" t="s">
        <v>739</v>
      </c>
      <c r="I309" s="60"/>
      <c r="J309" s="58" t="s">
        <v>740</v>
      </c>
      <c r="K309" s="58" t="s">
        <v>54</v>
      </c>
      <c r="L309" s="58" t="s">
        <v>741</v>
      </c>
      <c r="M309" s="60"/>
      <c r="N309" s="65">
        <v>46220</v>
      </c>
      <c r="O309" s="60" t="s">
        <v>153</v>
      </c>
      <c r="P309" s="60"/>
      <c r="Q309" s="60" t="s">
        <v>89</v>
      </c>
      <c r="R309" s="60"/>
      <c r="S309" s="60" t="s">
        <v>1066</v>
      </c>
      <c r="T309" s="60" t="s">
        <v>60</v>
      </c>
      <c r="U309" s="61" t="s">
        <v>61</v>
      </c>
    </row>
    <row r="310" spans="1:21" ht="54">
      <c r="A310" s="60" t="s">
        <v>1069</v>
      </c>
      <c r="B310" s="60" t="s">
        <v>1070</v>
      </c>
      <c r="C310" s="61" t="s">
        <v>49</v>
      </c>
      <c r="D310" s="61" t="s">
        <v>737</v>
      </c>
      <c r="E310" s="62" t="s">
        <v>19</v>
      </c>
      <c r="F310" s="57" t="s">
        <v>618</v>
      </c>
      <c r="G310" s="60" t="s">
        <v>1071</v>
      </c>
      <c r="H310" s="60" t="s">
        <v>739</v>
      </c>
      <c r="I310" s="60"/>
      <c r="J310" s="58" t="s">
        <v>740</v>
      </c>
      <c r="K310" s="58" t="s">
        <v>54</v>
      </c>
      <c r="L310" s="58" t="s">
        <v>741</v>
      </c>
      <c r="M310" s="60"/>
      <c r="N310" s="65">
        <v>46230</v>
      </c>
      <c r="O310" s="60" t="s">
        <v>153</v>
      </c>
      <c r="P310" s="60"/>
      <c r="Q310" s="60" t="s">
        <v>89</v>
      </c>
      <c r="R310" s="60"/>
      <c r="S310" s="60" t="s">
        <v>1003</v>
      </c>
      <c r="T310" s="60" t="s">
        <v>141</v>
      </c>
      <c r="U310" s="61" t="s">
        <v>61</v>
      </c>
    </row>
    <row r="311" spans="1:21" ht="54">
      <c r="A311" s="60" t="s">
        <v>1072</v>
      </c>
      <c r="B311" s="60" t="s">
        <v>1073</v>
      </c>
      <c r="C311" s="61" t="s">
        <v>49</v>
      </c>
      <c r="D311" s="61" t="s">
        <v>737</v>
      </c>
      <c r="E311" s="62" t="s">
        <v>19</v>
      </c>
      <c r="F311" s="57" t="s">
        <v>618</v>
      </c>
      <c r="G311" s="60" t="s">
        <v>1074</v>
      </c>
      <c r="H311" s="60" t="s">
        <v>739</v>
      </c>
      <c r="I311" s="60"/>
      <c r="J311" s="58" t="s">
        <v>740</v>
      </c>
      <c r="K311" s="58" t="s">
        <v>54</v>
      </c>
      <c r="L311" s="58" t="s">
        <v>741</v>
      </c>
      <c r="M311" s="60"/>
      <c r="N311" s="65">
        <v>46230</v>
      </c>
      <c r="O311" s="60" t="s">
        <v>153</v>
      </c>
      <c r="P311" s="60"/>
      <c r="Q311" s="60" t="s">
        <v>89</v>
      </c>
      <c r="R311" s="60"/>
      <c r="S311" s="60" t="s">
        <v>1039</v>
      </c>
      <c r="T311" s="60" t="s">
        <v>141</v>
      </c>
      <c r="U311" s="61" t="s">
        <v>61</v>
      </c>
    </row>
    <row r="312" spans="1:21" ht="81">
      <c r="A312" s="60" t="s">
        <v>1075</v>
      </c>
      <c r="B312" s="60" t="s">
        <v>1076</v>
      </c>
      <c r="C312" s="61" t="s">
        <v>49</v>
      </c>
      <c r="D312" s="61" t="s">
        <v>737</v>
      </c>
      <c r="E312" s="62" t="s">
        <v>19</v>
      </c>
      <c r="F312" s="57" t="s">
        <v>618</v>
      </c>
      <c r="G312" s="60" t="s">
        <v>1077</v>
      </c>
      <c r="H312" s="60" t="s">
        <v>739</v>
      </c>
      <c r="I312" s="60"/>
      <c r="J312" s="58" t="s">
        <v>740</v>
      </c>
      <c r="K312" s="58" t="s">
        <v>54</v>
      </c>
      <c r="L312" s="58" t="s">
        <v>741</v>
      </c>
      <c r="M312" s="60"/>
      <c r="N312" s="65">
        <v>46230</v>
      </c>
      <c r="O312" s="60" t="s">
        <v>153</v>
      </c>
      <c r="P312" s="60"/>
      <c r="Q312" s="60" t="s">
        <v>89</v>
      </c>
      <c r="R312" s="60"/>
      <c r="S312" s="60" t="s">
        <v>1075</v>
      </c>
      <c r="T312" s="60" t="s">
        <v>141</v>
      </c>
      <c r="U312" s="61" t="s">
        <v>61</v>
      </c>
    </row>
    <row r="313" spans="1:21" ht="81">
      <c r="A313" s="60" t="s">
        <v>1078</v>
      </c>
      <c r="B313" s="60" t="s">
        <v>1079</v>
      </c>
      <c r="C313" s="61" t="s">
        <v>49</v>
      </c>
      <c r="D313" s="61" t="s">
        <v>737</v>
      </c>
      <c r="E313" s="62" t="s">
        <v>19</v>
      </c>
      <c r="F313" s="57" t="s">
        <v>618</v>
      </c>
      <c r="G313" s="60" t="s">
        <v>1077</v>
      </c>
      <c r="H313" s="60" t="s">
        <v>739</v>
      </c>
      <c r="I313" s="60"/>
      <c r="J313" s="58" t="s">
        <v>740</v>
      </c>
      <c r="K313" s="58" t="s">
        <v>54</v>
      </c>
      <c r="L313" s="58" t="s">
        <v>741</v>
      </c>
      <c r="M313" s="60"/>
      <c r="N313" s="65">
        <v>46230</v>
      </c>
      <c r="O313" s="60" t="s">
        <v>153</v>
      </c>
      <c r="P313" s="60"/>
      <c r="Q313" s="60" t="s">
        <v>89</v>
      </c>
      <c r="R313" s="60"/>
      <c r="S313" s="60" t="s">
        <v>1039</v>
      </c>
      <c r="T313" s="60" t="s">
        <v>141</v>
      </c>
      <c r="U313" s="61" t="s">
        <v>61</v>
      </c>
    </row>
    <row r="314" spans="1:21" ht="81">
      <c r="A314" s="60" t="s">
        <v>1080</v>
      </c>
      <c r="B314" s="60" t="s">
        <v>1081</v>
      </c>
      <c r="C314" s="61" t="s">
        <v>49</v>
      </c>
      <c r="D314" s="61" t="s">
        <v>737</v>
      </c>
      <c r="E314" s="62" t="s">
        <v>19</v>
      </c>
      <c r="F314" s="57" t="s">
        <v>618</v>
      </c>
      <c r="G314" s="60" t="s">
        <v>1082</v>
      </c>
      <c r="H314" s="60" t="s">
        <v>739</v>
      </c>
      <c r="I314" s="60"/>
      <c r="J314" s="58" t="s">
        <v>740</v>
      </c>
      <c r="K314" s="58" t="s">
        <v>54</v>
      </c>
      <c r="L314" s="58" t="s">
        <v>741</v>
      </c>
      <c r="M314" s="60"/>
      <c r="N314" s="65">
        <v>46230</v>
      </c>
      <c r="O314" s="60" t="s">
        <v>153</v>
      </c>
      <c r="P314" s="60"/>
      <c r="Q314" s="60" t="s">
        <v>89</v>
      </c>
      <c r="R314" s="60"/>
      <c r="S314" s="60" t="s">
        <v>1075</v>
      </c>
      <c r="T314" s="60" t="s">
        <v>141</v>
      </c>
      <c r="U314" s="61" t="s">
        <v>61</v>
      </c>
    </row>
    <row r="315" spans="1:21" ht="81">
      <c r="A315" s="60" t="s">
        <v>1083</v>
      </c>
      <c r="B315" s="60" t="s">
        <v>1084</v>
      </c>
      <c r="C315" s="61" t="s">
        <v>49</v>
      </c>
      <c r="D315" s="61" t="s">
        <v>737</v>
      </c>
      <c r="E315" s="62" t="s">
        <v>19</v>
      </c>
      <c r="F315" s="57" t="s">
        <v>618</v>
      </c>
      <c r="G315" s="60" t="s">
        <v>1082</v>
      </c>
      <c r="H315" s="60" t="s">
        <v>739</v>
      </c>
      <c r="I315" s="60"/>
      <c r="J315" s="58" t="s">
        <v>740</v>
      </c>
      <c r="K315" s="58" t="s">
        <v>54</v>
      </c>
      <c r="L315" s="58" t="s">
        <v>741</v>
      </c>
      <c r="M315" s="60"/>
      <c r="N315" s="65">
        <v>46230</v>
      </c>
      <c r="O315" s="60" t="s">
        <v>153</v>
      </c>
      <c r="P315" s="60"/>
      <c r="Q315" s="60" t="s">
        <v>89</v>
      </c>
      <c r="R315" s="60"/>
      <c r="S315" s="60" t="s">
        <v>1078</v>
      </c>
      <c r="T315" s="60" t="s">
        <v>141</v>
      </c>
      <c r="U315" s="61" t="s">
        <v>61</v>
      </c>
    </row>
    <row r="316" spans="1:21" ht="54">
      <c r="A316" s="60" t="s">
        <v>1085</v>
      </c>
      <c r="B316" s="60" t="s">
        <v>1086</v>
      </c>
      <c r="C316" s="61" t="s">
        <v>49</v>
      </c>
      <c r="D316" s="61" t="s">
        <v>737</v>
      </c>
      <c r="E316" s="62" t="s">
        <v>19</v>
      </c>
      <c r="F316" s="57" t="s">
        <v>618</v>
      </c>
      <c r="G316" s="60" t="s">
        <v>1087</v>
      </c>
      <c r="H316" s="60" t="s">
        <v>739</v>
      </c>
      <c r="I316" s="60"/>
      <c r="J316" s="58" t="s">
        <v>740</v>
      </c>
      <c r="K316" s="58" t="s">
        <v>54</v>
      </c>
      <c r="L316" s="58" t="s">
        <v>741</v>
      </c>
      <c r="M316" s="60"/>
      <c r="N316" s="65">
        <v>46230</v>
      </c>
      <c r="O316" s="60" t="s">
        <v>153</v>
      </c>
      <c r="P316" s="60"/>
      <c r="Q316" s="60" t="s">
        <v>89</v>
      </c>
      <c r="R316" s="60"/>
      <c r="S316" s="60" t="s">
        <v>1075</v>
      </c>
      <c r="T316" s="60" t="s">
        <v>119</v>
      </c>
      <c r="U316" s="61" t="s">
        <v>61</v>
      </c>
    </row>
    <row r="317" spans="1:21" ht="54">
      <c r="A317" s="60" t="s">
        <v>1088</v>
      </c>
      <c r="B317" s="60" t="s">
        <v>1089</v>
      </c>
      <c r="C317" s="61" t="s">
        <v>49</v>
      </c>
      <c r="D317" s="61" t="s">
        <v>737</v>
      </c>
      <c r="E317" s="62" t="s">
        <v>19</v>
      </c>
      <c r="F317" s="57" t="s">
        <v>618</v>
      </c>
      <c r="G317" s="60" t="s">
        <v>1087</v>
      </c>
      <c r="H317" s="60" t="s">
        <v>739</v>
      </c>
      <c r="I317" s="60"/>
      <c r="J317" s="58" t="s">
        <v>740</v>
      </c>
      <c r="K317" s="58" t="s">
        <v>54</v>
      </c>
      <c r="L317" s="58" t="s">
        <v>741</v>
      </c>
      <c r="M317" s="60"/>
      <c r="N317" s="65">
        <v>46230</v>
      </c>
      <c r="O317" s="60" t="s">
        <v>153</v>
      </c>
      <c r="P317" s="60"/>
      <c r="Q317" s="60" t="s">
        <v>89</v>
      </c>
      <c r="R317" s="60"/>
      <c r="S317" s="60" t="s">
        <v>1078</v>
      </c>
      <c r="T317" s="60" t="s">
        <v>119</v>
      </c>
      <c r="U317" s="61" t="s">
        <v>61</v>
      </c>
    </row>
    <row r="318" spans="1:21" ht="40.5">
      <c r="A318" s="60" t="s">
        <v>1090</v>
      </c>
      <c r="B318" s="60" t="s">
        <v>1091</v>
      </c>
      <c r="C318" s="61" t="s">
        <v>49</v>
      </c>
      <c r="D318" s="61" t="s">
        <v>737</v>
      </c>
      <c r="E318" s="62" t="s">
        <v>19</v>
      </c>
      <c r="F318" s="57" t="s">
        <v>618</v>
      </c>
      <c r="G318" s="60" t="s">
        <v>1092</v>
      </c>
      <c r="H318" s="60" t="s">
        <v>739</v>
      </c>
      <c r="I318" s="60"/>
      <c r="J318" s="58" t="s">
        <v>740</v>
      </c>
      <c r="K318" s="58" t="s">
        <v>54</v>
      </c>
      <c r="L318" s="58" t="s">
        <v>741</v>
      </c>
      <c r="M318" s="60"/>
      <c r="N318" s="65">
        <v>46230</v>
      </c>
      <c r="O318" s="60" t="s">
        <v>153</v>
      </c>
      <c r="P318" s="60"/>
      <c r="Q318" s="60" t="s">
        <v>82</v>
      </c>
      <c r="R318" s="60"/>
      <c r="S318" s="60" t="s">
        <v>993</v>
      </c>
      <c r="T318" s="60" t="s">
        <v>119</v>
      </c>
      <c r="U318" s="61" t="s">
        <v>61</v>
      </c>
    </row>
    <row r="319" spans="1:21" ht="54">
      <c r="A319" s="60" t="s">
        <v>1093</v>
      </c>
      <c r="B319" s="60" t="s">
        <v>1094</v>
      </c>
      <c r="C319" s="61" t="s">
        <v>49</v>
      </c>
      <c r="D319" s="61" t="s">
        <v>737</v>
      </c>
      <c r="E319" s="62" t="s">
        <v>19</v>
      </c>
      <c r="F319" s="57" t="s">
        <v>618</v>
      </c>
      <c r="G319" s="60" t="s">
        <v>1095</v>
      </c>
      <c r="H319" s="60" t="s">
        <v>739</v>
      </c>
      <c r="I319" s="60"/>
      <c r="J319" s="58" t="s">
        <v>740</v>
      </c>
      <c r="K319" s="58" t="s">
        <v>54</v>
      </c>
      <c r="L319" s="58" t="s">
        <v>741</v>
      </c>
      <c r="M319" s="60"/>
      <c r="N319" s="65">
        <v>46237</v>
      </c>
      <c r="O319" s="60" t="s">
        <v>153</v>
      </c>
      <c r="P319" s="60"/>
      <c r="Q319" s="60" t="s">
        <v>82</v>
      </c>
      <c r="R319" s="60"/>
      <c r="S319" s="60" t="s">
        <v>1039</v>
      </c>
      <c r="T319" s="60" t="s">
        <v>119</v>
      </c>
      <c r="U319" s="61" t="s">
        <v>61</v>
      </c>
    </row>
    <row r="320" spans="1:21" ht="40.5">
      <c r="A320" s="60" t="s">
        <v>1096</v>
      </c>
      <c r="B320" s="60" t="s">
        <v>1097</v>
      </c>
      <c r="C320" s="61" t="s">
        <v>49</v>
      </c>
      <c r="D320" s="61" t="s">
        <v>737</v>
      </c>
      <c r="E320" s="62" t="s">
        <v>19</v>
      </c>
      <c r="F320" s="57" t="s">
        <v>618</v>
      </c>
      <c r="G320" s="60" t="s">
        <v>1092</v>
      </c>
      <c r="H320" s="60" t="s">
        <v>739</v>
      </c>
      <c r="I320" s="60"/>
      <c r="J320" s="58" t="s">
        <v>740</v>
      </c>
      <c r="K320" s="58" t="s">
        <v>54</v>
      </c>
      <c r="L320" s="58" t="s">
        <v>741</v>
      </c>
      <c r="M320" s="60"/>
      <c r="N320" s="65">
        <v>46237</v>
      </c>
      <c r="O320" s="60" t="s">
        <v>153</v>
      </c>
      <c r="P320" s="60"/>
      <c r="Q320" s="60" t="s">
        <v>82</v>
      </c>
      <c r="R320" s="60"/>
      <c r="S320" s="60" t="s">
        <v>1039</v>
      </c>
      <c r="T320" s="60" t="s">
        <v>119</v>
      </c>
      <c r="U320" s="61" t="s">
        <v>61</v>
      </c>
    </row>
    <row r="321" spans="1:21" ht="81">
      <c r="A321" s="60" t="s">
        <v>1098</v>
      </c>
      <c r="B321" s="60" t="s">
        <v>1099</v>
      </c>
      <c r="C321" s="61" t="s">
        <v>49</v>
      </c>
      <c r="D321" s="61" t="s">
        <v>737</v>
      </c>
      <c r="E321" s="62" t="s">
        <v>19</v>
      </c>
      <c r="F321" s="57" t="s">
        <v>618</v>
      </c>
      <c r="G321" s="60" t="s">
        <v>1032</v>
      </c>
      <c r="H321" s="60" t="s">
        <v>739</v>
      </c>
      <c r="I321" s="60"/>
      <c r="J321" s="58" t="s">
        <v>740</v>
      </c>
      <c r="K321" s="58" t="s">
        <v>54</v>
      </c>
      <c r="L321" s="58" t="s">
        <v>741</v>
      </c>
      <c r="M321" s="60"/>
      <c r="N321" s="65">
        <v>46237</v>
      </c>
      <c r="O321" s="60" t="s">
        <v>153</v>
      </c>
      <c r="P321" s="60"/>
      <c r="Q321" s="60" t="s">
        <v>89</v>
      </c>
      <c r="R321" s="60"/>
      <c r="S321" s="60" t="s">
        <v>1042</v>
      </c>
      <c r="T321" s="60" t="s">
        <v>119</v>
      </c>
      <c r="U321" s="61" t="s">
        <v>61</v>
      </c>
    </row>
    <row r="322" spans="1:21" ht="54">
      <c r="A322" s="60" t="s">
        <v>1100</v>
      </c>
      <c r="B322" s="60" t="s">
        <v>1101</v>
      </c>
      <c r="C322" s="61" t="s">
        <v>49</v>
      </c>
      <c r="D322" s="61" t="s">
        <v>737</v>
      </c>
      <c r="E322" s="62" t="s">
        <v>26</v>
      </c>
      <c r="F322" s="57" t="s">
        <v>618</v>
      </c>
      <c r="G322" s="60" t="s">
        <v>1102</v>
      </c>
      <c r="H322" s="60" t="s">
        <v>739</v>
      </c>
      <c r="I322" s="60"/>
      <c r="J322" s="58" t="s">
        <v>740</v>
      </c>
      <c r="K322" s="58" t="s">
        <v>54</v>
      </c>
      <c r="L322" s="58" t="s">
        <v>741</v>
      </c>
      <c r="M322" s="60"/>
      <c r="N322" s="65">
        <v>46237</v>
      </c>
      <c r="O322" s="60" t="s">
        <v>153</v>
      </c>
      <c r="P322" s="60"/>
      <c r="Q322" s="60" t="s">
        <v>59</v>
      </c>
      <c r="R322" s="60"/>
      <c r="S322" s="60" t="s">
        <v>1027</v>
      </c>
      <c r="T322" s="60" t="s">
        <v>60</v>
      </c>
      <c r="U322" s="61" t="s">
        <v>61</v>
      </c>
    </row>
    <row r="323" spans="1:21" ht="108">
      <c r="A323" s="60" t="s">
        <v>1103</v>
      </c>
      <c r="B323" s="60" t="s">
        <v>1104</v>
      </c>
      <c r="C323" s="61" t="s">
        <v>49</v>
      </c>
      <c r="D323" s="61" t="s">
        <v>737</v>
      </c>
      <c r="E323" s="62" t="s">
        <v>19</v>
      </c>
      <c r="F323" s="57" t="s">
        <v>618</v>
      </c>
      <c r="G323" s="60" t="s">
        <v>1105</v>
      </c>
      <c r="H323" s="60" t="s">
        <v>739</v>
      </c>
      <c r="I323" s="60"/>
      <c r="J323" s="58" t="s">
        <v>740</v>
      </c>
      <c r="K323" s="58" t="s">
        <v>54</v>
      </c>
      <c r="L323" s="58" t="s">
        <v>741</v>
      </c>
      <c r="M323" s="60"/>
      <c r="N323" s="65">
        <v>46237</v>
      </c>
      <c r="O323" s="60" t="s">
        <v>153</v>
      </c>
      <c r="P323" s="60"/>
      <c r="Q323" s="60" t="s">
        <v>89</v>
      </c>
      <c r="R323" s="60"/>
      <c r="S323" s="60" t="s">
        <v>1042</v>
      </c>
      <c r="T323" s="60" t="s">
        <v>141</v>
      </c>
      <c r="U323" s="61" t="s">
        <v>61</v>
      </c>
    </row>
    <row r="324" spans="1:21" ht="81">
      <c r="A324" s="60" t="s">
        <v>1106</v>
      </c>
      <c r="B324" s="60" t="s">
        <v>1107</v>
      </c>
      <c r="C324" s="61" t="s">
        <v>49</v>
      </c>
      <c r="D324" s="61" t="s">
        <v>737</v>
      </c>
      <c r="E324" s="62" t="s">
        <v>19</v>
      </c>
      <c r="F324" s="57" t="s">
        <v>618</v>
      </c>
      <c r="G324" s="60" t="s">
        <v>1108</v>
      </c>
      <c r="H324" s="60" t="s">
        <v>739</v>
      </c>
      <c r="I324" s="60"/>
      <c r="J324" s="58" t="s">
        <v>740</v>
      </c>
      <c r="K324" s="58" t="s">
        <v>54</v>
      </c>
      <c r="L324" s="58" t="s">
        <v>741</v>
      </c>
      <c r="M324" s="60"/>
      <c r="N324" s="65">
        <v>46237</v>
      </c>
      <c r="O324" s="60" t="s">
        <v>153</v>
      </c>
      <c r="P324" s="60"/>
      <c r="Q324" s="60" t="s">
        <v>82</v>
      </c>
      <c r="R324" s="60"/>
      <c r="S324" s="60" t="s">
        <v>1109</v>
      </c>
      <c r="T324" s="60" t="s">
        <v>83</v>
      </c>
      <c r="U324" s="61" t="s">
        <v>768</v>
      </c>
    </row>
    <row r="325" spans="1:21" ht="81">
      <c r="A325" s="60" t="s">
        <v>1110</v>
      </c>
      <c r="B325" s="60" t="s">
        <v>1111</v>
      </c>
      <c r="C325" s="61" t="s">
        <v>49</v>
      </c>
      <c r="D325" s="61" t="s">
        <v>737</v>
      </c>
      <c r="E325" s="62" t="s">
        <v>19</v>
      </c>
      <c r="F325" s="57" t="s">
        <v>618</v>
      </c>
      <c r="G325" s="60" t="s">
        <v>1112</v>
      </c>
      <c r="H325" s="60" t="s">
        <v>739</v>
      </c>
      <c r="I325" s="60"/>
      <c r="J325" s="58" t="s">
        <v>740</v>
      </c>
      <c r="K325" s="58" t="s">
        <v>54</v>
      </c>
      <c r="L325" s="58" t="s">
        <v>741</v>
      </c>
      <c r="M325" s="60"/>
      <c r="N325" s="65">
        <v>46237</v>
      </c>
      <c r="O325" s="60" t="s">
        <v>153</v>
      </c>
      <c r="P325" s="60"/>
      <c r="Q325" s="60" t="s">
        <v>82</v>
      </c>
      <c r="R325" s="60"/>
      <c r="S325" s="60" t="s">
        <v>1109</v>
      </c>
      <c r="T325" s="60" t="s">
        <v>83</v>
      </c>
      <c r="U325" s="61" t="s">
        <v>768</v>
      </c>
    </row>
    <row r="326" spans="1:21" ht="54">
      <c r="A326" s="60" t="s">
        <v>1113</v>
      </c>
      <c r="B326" s="60" t="s">
        <v>1114</v>
      </c>
      <c r="C326" s="61" t="s">
        <v>49</v>
      </c>
      <c r="D326" s="61" t="s">
        <v>737</v>
      </c>
      <c r="E326" s="62" t="s">
        <v>19</v>
      </c>
      <c r="F326" s="57" t="s">
        <v>618</v>
      </c>
      <c r="G326" s="60" t="s">
        <v>1115</v>
      </c>
      <c r="H326" s="60" t="s">
        <v>739</v>
      </c>
      <c r="I326" s="60"/>
      <c r="J326" s="58" t="s">
        <v>740</v>
      </c>
      <c r="K326" s="58" t="s">
        <v>54</v>
      </c>
      <c r="L326" s="58" t="s">
        <v>741</v>
      </c>
      <c r="M326" s="60"/>
      <c r="N326" s="65">
        <v>46237</v>
      </c>
      <c r="O326" s="60" t="s">
        <v>153</v>
      </c>
      <c r="P326" s="60"/>
      <c r="Q326" s="60" t="s">
        <v>82</v>
      </c>
      <c r="R326" s="60"/>
      <c r="S326" s="60" t="s">
        <v>994</v>
      </c>
      <c r="T326" s="60" t="s">
        <v>60</v>
      </c>
      <c r="U326" s="61" t="s">
        <v>61</v>
      </c>
    </row>
    <row r="327" spans="1:21" ht="54">
      <c r="A327" s="60" t="s">
        <v>1116</v>
      </c>
      <c r="B327" s="60" t="s">
        <v>1117</v>
      </c>
      <c r="C327" s="61" t="s">
        <v>49</v>
      </c>
      <c r="D327" s="61" t="s">
        <v>737</v>
      </c>
      <c r="E327" s="62" t="s">
        <v>19</v>
      </c>
      <c r="F327" s="57" t="s">
        <v>618</v>
      </c>
      <c r="G327" s="60" t="s">
        <v>1118</v>
      </c>
      <c r="H327" s="60" t="s">
        <v>739</v>
      </c>
      <c r="I327" s="60"/>
      <c r="J327" s="58" t="s">
        <v>740</v>
      </c>
      <c r="K327" s="58" t="s">
        <v>54</v>
      </c>
      <c r="L327" s="58" t="s">
        <v>741</v>
      </c>
      <c r="M327" s="60"/>
      <c r="N327" s="65">
        <v>46237</v>
      </c>
      <c r="O327" s="60" t="s">
        <v>153</v>
      </c>
      <c r="P327" s="60"/>
      <c r="Q327" s="60" t="s">
        <v>82</v>
      </c>
      <c r="R327" s="60"/>
      <c r="S327" s="60" t="s">
        <v>1119</v>
      </c>
      <c r="T327" s="60" t="s">
        <v>60</v>
      </c>
      <c r="U327" s="61" t="s">
        <v>61</v>
      </c>
    </row>
    <row r="328" spans="1:21" ht="54">
      <c r="A328" s="60" t="s">
        <v>1120</v>
      </c>
      <c r="B328" s="60" t="s">
        <v>1121</v>
      </c>
      <c r="C328" s="61" t="s">
        <v>49</v>
      </c>
      <c r="D328" s="61" t="s">
        <v>737</v>
      </c>
      <c r="E328" s="62" t="s">
        <v>19</v>
      </c>
      <c r="F328" s="57" t="s">
        <v>618</v>
      </c>
      <c r="G328" s="60" t="s">
        <v>1122</v>
      </c>
      <c r="H328" s="60" t="s">
        <v>739</v>
      </c>
      <c r="I328" s="60"/>
      <c r="J328" s="58" t="s">
        <v>740</v>
      </c>
      <c r="K328" s="58" t="s">
        <v>54</v>
      </c>
      <c r="L328" s="58" t="s">
        <v>741</v>
      </c>
      <c r="M328" s="60"/>
      <c r="N328" s="65">
        <v>46246</v>
      </c>
      <c r="O328" s="60" t="s">
        <v>153</v>
      </c>
      <c r="P328" s="60"/>
      <c r="Q328" s="60" t="s">
        <v>89</v>
      </c>
      <c r="R328" s="60"/>
      <c r="S328" s="60" t="s">
        <v>1119</v>
      </c>
      <c r="T328" s="60" t="s">
        <v>141</v>
      </c>
      <c r="U328" s="61" t="s">
        <v>61</v>
      </c>
    </row>
    <row r="329" spans="1:21" ht="54">
      <c r="A329" s="60" t="s">
        <v>1123</v>
      </c>
      <c r="B329" s="60" t="s">
        <v>1124</v>
      </c>
      <c r="C329" s="61" t="s">
        <v>49</v>
      </c>
      <c r="D329" s="61" t="s">
        <v>737</v>
      </c>
      <c r="E329" s="62" t="s">
        <v>19</v>
      </c>
      <c r="F329" s="57" t="s">
        <v>618</v>
      </c>
      <c r="G329" s="60" t="s">
        <v>1125</v>
      </c>
      <c r="H329" s="60" t="s">
        <v>739</v>
      </c>
      <c r="I329" s="60"/>
      <c r="J329" s="58" t="s">
        <v>740</v>
      </c>
      <c r="K329" s="58" t="s">
        <v>54</v>
      </c>
      <c r="L329" s="58" t="s">
        <v>741</v>
      </c>
      <c r="M329" s="60"/>
      <c r="N329" s="65">
        <v>46248</v>
      </c>
      <c r="O329" s="60" t="s">
        <v>153</v>
      </c>
      <c r="P329" s="60"/>
      <c r="Q329" s="60" t="s">
        <v>89</v>
      </c>
      <c r="R329" s="60"/>
      <c r="S329" s="60" t="s">
        <v>1057</v>
      </c>
      <c r="T329" s="60" t="s">
        <v>141</v>
      </c>
      <c r="U329" s="61" t="s">
        <v>61</v>
      </c>
    </row>
    <row r="330" spans="1:21" ht="54">
      <c r="A330" s="60" t="s">
        <v>1109</v>
      </c>
      <c r="B330" s="60" t="s">
        <v>1126</v>
      </c>
      <c r="C330" s="61" t="s">
        <v>49</v>
      </c>
      <c r="D330" s="61" t="s">
        <v>737</v>
      </c>
      <c r="E330" s="62" t="s">
        <v>21</v>
      </c>
      <c r="F330" s="57" t="s">
        <v>618</v>
      </c>
      <c r="G330" s="60" t="s">
        <v>1127</v>
      </c>
      <c r="H330" s="60" t="s">
        <v>739</v>
      </c>
      <c r="I330" s="60"/>
      <c r="J330" s="58" t="s">
        <v>740</v>
      </c>
      <c r="K330" s="58" t="s">
        <v>54</v>
      </c>
      <c r="L330" s="58" t="s">
        <v>741</v>
      </c>
      <c r="M330" s="60"/>
      <c r="N330" s="65">
        <v>46248</v>
      </c>
      <c r="O330" s="60" t="s">
        <v>153</v>
      </c>
      <c r="P330" s="60"/>
      <c r="Q330" s="60" t="s">
        <v>59</v>
      </c>
      <c r="R330" s="60"/>
      <c r="S330" s="60" t="s">
        <v>993</v>
      </c>
      <c r="T330" s="60" t="s">
        <v>60</v>
      </c>
      <c r="U330" s="61" t="s">
        <v>61</v>
      </c>
    </row>
    <row r="331" spans="1:21" ht="81">
      <c r="A331" s="60" t="s">
        <v>1128</v>
      </c>
      <c r="B331" s="60" t="s">
        <v>1129</v>
      </c>
      <c r="C331" s="61" t="s">
        <v>49</v>
      </c>
      <c r="D331" s="61" t="s">
        <v>737</v>
      </c>
      <c r="E331" s="62" t="s">
        <v>19</v>
      </c>
      <c r="F331" s="57" t="s">
        <v>618</v>
      </c>
      <c r="G331" s="60" t="s">
        <v>1130</v>
      </c>
      <c r="H331" s="60" t="s">
        <v>739</v>
      </c>
      <c r="I331" s="60"/>
      <c r="J331" s="58" t="s">
        <v>740</v>
      </c>
      <c r="K331" s="58" t="s">
        <v>54</v>
      </c>
      <c r="L331" s="58" t="s">
        <v>741</v>
      </c>
      <c r="M331" s="60"/>
      <c r="N331" s="65">
        <v>46248</v>
      </c>
      <c r="O331" s="60" t="s">
        <v>153</v>
      </c>
      <c r="P331" s="60"/>
      <c r="Q331" s="60" t="s">
        <v>89</v>
      </c>
      <c r="R331" s="60"/>
      <c r="S331" s="60" t="s">
        <v>1075</v>
      </c>
      <c r="T331" s="60" t="s">
        <v>60</v>
      </c>
      <c r="U331" s="61" t="s">
        <v>61</v>
      </c>
    </row>
    <row r="332" spans="1:21" ht="40.5">
      <c r="A332" s="60" t="s">
        <v>1131</v>
      </c>
      <c r="B332" s="60" t="s">
        <v>1132</v>
      </c>
      <c r="C332" s="61" t="s">
        <v>49</v>
      </c>
      <c r="D332" s="61" t="s">
        <v>737</v>
      </c>
      <c r="E332" s="62" t="s">
        <v>21</v>
      </c>
      <c r="F332" s="57" t="s">
        <v>618</v>
      </c>
      <c r="G332" s="60" t="s">
        <v>1133</v>
      </c>
      <c r="H332" s="60" t="s">
        <v>739</v>
      </c>
      <c r="I332" s="60"/>
      <c r="J332" s="58" t="s">
        <v>740</v>
      </c>
      <c r="K332" s="58" t="s">
        <v>54</v>
      </c>
      <c r="L332" s="58" t="s">
        <v>741</v>
      </c>
      <c r="M332" s="60"/>
      <c r="N332" s="65">
        <v>46248</v>
      </c>
      <c r="O332" s="60" t="s">
        <v>153</v>
      </c>
      <c r="P332" s="60"/>
      <c r="Q332" s="60" t="s">
        <v>59</v>
      </c>
      <c r="R332" s="60"/>
      <c r="S332" s="60" t="s">
        <v>1039</v>
      </c>
      <c r="T332" s="60" t="s">
        <v>60</v>
      </c>
      <c r="U332" s="61" t="s">
        <v>61</v>
      </c>
    </row>
    <row r="333" spans="1:21" ht="67.5">
      <c r="A333" s="60" t="s">
        <v>1119</v>
      </c>
      <c r="B333" s="60" t="s">
        <v>1134</v>
      </c>
      <c r="C333" s="61" t="s">
        <v>49</v>
      </c>
      <c r="D333" s="61" t="s">
        <v>737</v>
      </c>
      <c r="E333" s="62" t="s">
        <v>19</v>
      </c>
      <c r="F333" s="57" t="s">
        <v>618</v>
      </c>
      <c r="G333" s="60" t="s">
        <v>1135</v>
      </c>
      <c r="H333" s="60" t="s">
        <v>739</v>
      </c>
      <c r="I333" s="60"/>
      <c r="J333" s="58" t="s">
        <v>740</v>
      </c>
      <c r="K333" s="58" t="s">
        <v>54</v>
      </c>
      <c r="L333" s="58" t="s">
        <v>741</v>
      </c>
      <c r="M333" s="60"/>
      <c r="N333" s="65">
        <v>46248</v>
      </c>
      <c r="O333" s="60" t="s">
        <v>153</v>
      </c>
      <c r="P333" s="60"/>
      <c r="Q333" s="60" t="s">
        <v>89</v>
      </c>
      <c r="R333" s="60"/>
      <c r="S333" s="60" t="s">
        <v>1039</v>
      </c>
      <c r="T333" s="60" t="s">
        <v>60</v>
      </c>
      <c r="U333" s="61" t="s">
        <v>61</v>
      </c>
    </row>
    <row r="334" spans="1:21" ht="67.5">
      <c r="A334" s="60" t="s">
        <v>1136</v>
      </c>
      <c r="B334" s="106" t="s">
        <v>1137</v>
      </c>
      <c r="C334" s="61" t="s">
        <v>49</v>
      </c>
      <c r="D334" s="61" t="s">
        <v>737</v>
      </c>
      <c r="E334" s="62" t="s">
        <v>18</v>
      </c>
      <c r="F334" s="57" t="s">
        <v>1138</v>
      </c>
      <c r="G334" s="60" t="s">
        <v>1139</v>
      </c>
      <c r="H334" s="60"/>
      <c r="I334" s="60"/>
      <c r="J334" s="58" t="s">
        <v>740</v>
      </c>
      <c r="K334" s="58" t="s">
        <v>54</v>
      </c>
      <c r="L334" s="58" t="s">
        <v>741</v>
      </c>
      <c r="M334" s="60"/>
      <c r="N334" s="65">
        <v>46268</v>
      </c>
      <c r="O334" s="60" t="s">
        <v>153</v>
      </c>
      <c r="P334" s="60"/>
      <c r="Q334" s="60" t="s">
        <v>82</v>
      </c>
      <c r="R334" s="60"/>
      <c r="S334" s="60" t="s">
        <v>993</v>
      </c>
      <c r="T334" s="60" t="s">
        <v>228</v>
      </c>
      <c r="U334" s="61" t="s">
        <v>61</v>
      </c>
    </row>
    <row r="335" spans="1:21" ht="67.5">
      <c r="A335" s="60" t="s">
        <v>1140</v>
      </c>
      <c r="B335" s="106" t="s">
        <v>1141</v>
      </c>
      <c r="C335" s="61" t="s">
        <v>49</v>
      </c>
      <c r="D335" s="61" t="s">
        <v>737</v>
      </c>
      <c r="E335" s="62" t="s">
        <v>18</v>
      </c>
      <c r="F335" s="57" t="s">
        <v>1138</v>
      </c>
      <c r="G335" s="60" t="s">
        <v>1142</v>
      </c>
      <c r="H335" s="60"/>
      <c r="I335" s="60"/>
      <c r="J335" s="58" t="s">
        <v>740</v>
      </c>
      <c r="K335" s="58" t="s">
        <v>54</v>
      </c>
      <c r="L335" s="58" t="s">
        <v>741</v>
      </c>
      <c r="M335" s="60"/>
      <c r="N335" s="65">
        <v>46268</v>
      </c>
      <c r="O335" s="60" t="s">
        <v>153</v>
      </c>
      <c r="P335" s="60"/>
      <c r="Q335" s="60" t="s">
        <v>82</v>
      </c>
      <c r="R335" s="60"/>
      <c r="S335" s="60" t="s">
        <v>1039</v>
      </c>
      <c r="T335" s="60" t="s">
        <v>228</v>
      </c>
      <c r="U335" s="61" t="s">
        <v>61</v>
      </c>
    </row>
    <row r="336" spans="1:21" ht="81">
      <c r="A336" s="60" t="s">
        <v>1143</v>
      </c>
      <c r="B336" s="60" t="s">
        <v>1144</v>
      </c>
      <c r="C336" s="61" t="s">
        <v>49</v>
      </c>
      <c r="D336" s="61" t="s">
        <v>737</v>
      </c>
      <c r="E336" s="62" t="s">
        <v>21</v>
      </c>
      <c r="F336" s="57" t="s">
        <v>618</v>
      </c>
      <c r="G336" s="60" t="s">
        <v>1145</v>
      </c>
      <c r="H336" s="60" t="s">
        <v>739</v>
      </c>
      <c r="I336" s="60"/>
      <c r="J336" s="58" t="s">
        <v>740</v>
      </c>
      <c r="K336" s="58" t="s">
        <v>54</v>
      </c>
      <c r="L336" s="58" t="s">
        <v>741</v>
      </c>
      <c r="M336" s="60"/>
      <c r="N336" s="65">
        <v>46248</v>
      </c>
      <c r="O336" s="60" t="s">
        <v>153</v>
      </c>
      <c r="P336" s="60"/>
      <c r="Q336" s="60" t="s">
        <v>89</v>
      </c>
      <c r="R336" s="60"/>
      <c r="S336" s="60" t="s">
        <v>1039</v>
      </c>
      <c r="T336" s="60" t="s">
        <v>83</v>
      </c>
      <c r="U336" s="61" t="s">
        <v>61</v>
      </c>
    </row>
    <row r="337" spans="1:21" ht="67.5">
      <c r="A337" s="60" t="s">
        <v>1146</v>
      </c>
      <c r="B337" s="60" t="s">
        <v>1147</v>
      </c>
      <c r="C337" s="61" t="s">
        <v>49</v>
      </c>
      <c r="D337" s="61" t="s">
        <v>737</v>
      </c>
      <c r="E337" s="62" t="s">
        <v>26</v>
      </c>
      <c r="F337" s="57" t="s">
        <v>618</v>
      </c>
      <c r="G337" s="60" t="s">
        <v>1148</v>
      </c>
      <c r="H337" s="60" t="s">
        <v>739</v>
      </c>
      <c r="I337" s="60"/>
      <c r="J337" s="58" t="s">
        <v>740</v>
      </c>
      <c r="K337" s="58" t="s">
        <v>54</v>
      </c>
      <c r="L337" s="58" t="s">
        <v>741</v>
      </c>
      <c r="M337" s="60"/>
      <c r="N337" s="65">
        <v>46248</v>
      </c>
      <c r="O337" s="60" t="s">
        <v>153</v>
      </c>
      <c r="P337" s="60"/>
      <c r="Q337" s="60" t="s">
        <v>59</v>
      </c>
      <c r="R337" s="60"/>
      <c r="S337" s="60" t="s">
        <v>1039</v>
      </c>
      <c r="T337" s="60" t="s">
        <v>60</v>
      </c>
      <c r="U337" s="61" t="s">
        <v>61</v>
      </c>
    </row>
    <row r="338" spans="1:21" ht="67.5">
      <c r="A338" s="60" t="s">
        <v>1149</v>
      </c>
      <c r="B338" s="60" t="s">
        <v>1150</v>
      </c>
      <c r="C338" s="61" t="s">
        <v>49</v>
      </c>
      <c r="D338" s="61" t="s">
        <v>737</v>
      </c>
      <c r="E338" s="62" t="s">
        <v>19</v>
      </c>
      <c r="F338" s="57" t="s">
        <v>618</v>
      </c>
      <c r="G338" s="60" t="s">
        <v>1151</v>
      </c>
      <c r="H338" s="60" t="s">
        <v>739</v>
      </c>
      <c r="I338" s="60"/>
      <c r="J338" s="58" t="s">
        <v>740</v>
      </c>
      <c r="K338" s="58" t="s">
        <v>54</v>
      </c>
      <c r="L338" s="58" t="s">
        <v>741</v>
      </c>
      <c r="M338" s="60"/>
      <c r="N338" s="65">
        <v>46248</v>
      </c>
      <c r="O338" s="60" t="s">
        <v>153</v>
      </c>
      <c r="P338" s="60"/>
      <c r="Q338" s="60" t="s">
        <v>82</v>
      </c>
      <c r="R338" s="60"/>
      <c r="S338" s="60" t="s">
        <v>957</v>
      </c>
      <c r="T338" s="60"/>
      <c r="U338" s="61" t="s">
        <v>743</v>
      </c>
    </row>
    <row r="339" spans="1:21" ht="54">
      <c r="A339" s="60" t="s">
        <v>1152</v>
      </c>
      <c r="B339" s="60" t="s">
        <v>1153</v>
      </c>
      <c r="C339" s="61" t="s">
        <v>49</v>
      </c>
      <c r="D339" s="61" t="s">
        <v>737</v>
      </c>
      <c r="E339" s="62" t="s">
        <v>19</v>
      </c>
      <c r="F339" s="57" t="s">
        <v>618</v>
      </c>
      <c r="G339" s="60" t="s">
        <v>1154</v>
      </c>
      <c r="H339" s="60" t="s">
        <v>739</v>
      </c>
      <c r="I339" s="60"/>
      <c r="J339" s="58" t="s">
        <v>740</v>
      </c>
      <c r="K339" s="58" t="s">
        <v>54</v>
      </c>
      <c r="L339" s="58" t="s">
        <v>741</v>
      </c>
      <c r="M339" s="60"/>
      <c r="N339" s="65">
        <v>46248</v>
      </c>
      <c r="O339" s="60" t="s">
        <v>153</v>
      </c>
      <c r="P339" s="60"/>
      <c r="Q339" s="60" t="s">
        <v>82</v>
      </c>
      <c r="R339" s="60"/>
      <c r="S339" s="60" t="s">
        <v>1069</v>
      </c>
      <c r="T339" s="60"/>
      <c r="U339" s="61" t="s">
        <v>743</v>
      </c>
    </row>
    <row r="340" spans="1:21" ht="54">
      <c r="A340" s="60" t="s">
        <v>1155</v>
      </c>
      <c r="B340" s="60" t="s">
        <v>1156</v>
      </c>
      <c r="C340" s="61" t="s">
        <v>49</v>
      </c>
      <c r="D340" s="61" t="s">
        <v>737</v>
      </c>
      <c r="E340" s="62" t="s">
        <v>19</v>
      </c>
      <c r="F340" s="57" t="s">
        <v>618</v>
      </c>
      <c r="G340" s="60" t="s">
        <v>1157</v>
      </c>
      <c r="H340" s="60" t="s">
        <v>739</v>
      </c>
      <c r="I340" s="60"/>
      <c r="J340" s="58" t="s">
        <v>740</v>
      </c>
      <c r="K340" s="58" t="s">
        <v>54</v>
      </c>
      <c r="L340" s="58" t="s">
        <v>741</v>
      </c>
      <c r="M340" s="60"/>
      <c r="N340" s="65">
        <v>46248</v>
      </c>
      <c r="O340" s="60" t="s">
        <v>153</v>
      </c>
      <c r="P340" s="60"/>
      <c r="Q340" s="60" t="s">
        <v>82</v>
      </c>
      <c r="R340" s="60"/>
      <c r="S340" s="60" t="s">
        <v>1069</v>
      </c>
      <c r="T340" s="60"/>
      <c r="U340" s="61" t="s">
        <v>743</v>
      </c>
    </row>
    <row r="341" spans="1:21" ht="148.5">
      <c r="A341" s="60" t="s">
        <v>1158</v>
      </c>
      <c r="B341" s="60" t="s">
        <v>1159</v>
      </c>
      <c r="C341" s="61" t="s">
        <v>49</v>
      </c>
      <c r="D341" s="61" t="s">
        <v>737</v>
      </c>
      <c r="E341" s="62" t="s">
        <v>19</v>
      </c>
      <c r="F341" s="57" t="s">
        <v>618</v>
      </c>
      <c r="G341" s="60" t="s">
        <v>1160</v>
      </c>
      <c r="H341" s="60" t="s">
        <v>739</v>
      </c>
      <c r="I341" s="60"/>
      <c r="J341" s="58" t="s">
        <v>740</v>
      </c>
      <c r="K341" s="58" t="s">
        <v>54</v>
      </c>
      <c r="L341" s="58" t="s">
        <v>741</v>
      </c>
      <c r="M341" s="60"/>
      <c r="N341" s="65">
        <v>46248</v>
      </c>
      <c r="O341" s="60" t="s">
        <v>153</v>
      </c>
      <c r="P341" s="60"/>
      <c r="Q341" s="60" t="s">
        <v>89</v>
      </c>
      <c r="R341" s="60"/>
      <c r="S341" s="60" t="s">
        <v>932</v>
      </c>
      <c r="T341" s="60"/>
      <c r="U341" s="61" t="s">
        <v>61</v>
      </c>
    </row>
    <row r="342" spans="1:21" ht="54">
      <c r="A342" s="60" t="s">
        <v>1161</v>
      </c>
      <c r="B342" s="60" t="s">
        <v>1162</v>
      </c>
      <c r="C342" s="61" t="s">
        <v>49</v>
      </c>
      <c r="D342" s="61" t="s">
        <v>737</v>
      </c>
      <c r="E342" s="62" t="s">
        <v>19</v>
      </c>
      <c r="F342" s="57" t="s">
        <v>618</v>
      </c>
      <c r="G342" s="60" t="s">
        <v>1163</v>
      </c>
      <c r="H342" s="60" t="s">
        <v>739</v>
      </c>
      <c r="I342" s="60"/>
      <c r="J342" s="58" t="s">
        <v>740</v>
      </c>
      <c r="K342" s="58" t="s">
        <v>54</v>
      </c>
      <c r="L342" s="58" t="s">
        <v>741</v>
      </c>
      <c r="M342" s="60"/>
      <c r="N342" s="65">
        <v>46248</v>
      </c>
      <c r="O342" s="60" t="s">
        <v>153</v>
      </c>
      <c r="P342" s="60"/>
      <c r="Q342" s="60" t="s">
        <v>82</v>
      </c>
      <c r="R342" s="60"/>
      <c r="S342" s="60" t="s">
        <v>1080</v>
      </c>
      <c r="T342" s="60"/>
      <c r="U342" s="61" t="s">
        <v>743</v>
      </c>
    </row>
    <row r="343" spans="1:21" ht="67.5">
      <c r="A343" s="60" t="s">
        <v>1164</v>
      </c>
      <c r="B343" s="60" t="s">
        <v>1165</v>
      </c>
      <c r="C343" s="61" t="s">
        <v>49</v>
      </c>
      <c r="D343" s="61" t="s">
        <v>737</v>
      </c>
      <c r="E343" s="62" t="s">
        <v>19</v>
      </c>
      <c r="F343" s="57" t="s">
        <v>618</v>
      </c>
      <c r="G343" s="60" t="s">
        <v>1166</v>
      </c>
      <c r="H343" s="60" t="s">
        <v>739</v>
      </c>
      <c r="I343" s="60"/>
      <c r="J343" s="58" t="s">
        <v>740</v>
      </c>
      <c r="K343" s="58" t="s">
        <v>54</v>
      </c>
      <c r="L343" s="58" t="s">
        <v>741</v>
      </c>
      <c r="M343" s="60"/>
      <c r="N343" s="65">
        <v>46248</v>
      </c>
      <c r="O343" s="60" t="s">
        <v>153</v>
      </c>
      <c r="P343" s="60"/>
      <c r="Q343" s="60" t="s">
        <v>89</v>
      </c>
      <c r="R343" s="60"/>
      <c r="S343" s="60" t="s">
        <v>1080</v>
      </c>
      <c r="T343" s="60"/>
      <c r="U343" s="61" t="s">
        <v>61</v>
      </c>
    </row>
    <row r="344" spans="1:21" ht="54">
      <c r="A344" s="60" t="s">
        <v>1167</v>
      </c>
      <c r="B344" s="60" t="s">
        <v>1168</v>
      </c>
      <c r="C344" s="61" t="s">
        <v>49</v>
      </c>
      <c r="D344" s="61" t="s">
        <v>737</v>
      </c>
      <c r="E344" s="62" t="s">
        <v>19</v>
      </c>
      <c r="F344" s="57" t="s">
        <v>618</v>
      </c>
      <c r="G344" s="60" t="s">
        <v>1169</v>
      </c>
      <c r="H344" s="60" t="s">
        <v>739</v>
      </c>
      <c r="I344" s="60"/>
      <c r="J344" s="58" t="s">
        <v>740</v>
      </c>
      <c r="K344" s="58" t="s">
        <v>54</v>
      </c>
      <c r="L344" s="58" t="s">
        <v>741</v>
      </c>
      <c r="M344" s="60"/>
      <c r="N344" s="65">
        <v>46251</v>
      </c>
      <c r="O344" s="60" t="s">
        <v>153</v>
      </c>
      <c r="P344" s="60"/>
      <c r="Q344" s="60" t="s">
        <v>82</v>
      </c>
      <c r="R344" s="60"/>
      <c r="S344" s="60" t="s">
        <v>1083</v>
      </c>
      <c r="T344" s="60"/>
      <c r="U344" s="61" t="s">
        <v>743</v>
      </c>
    </row>
    <row r="345" spans="1:21" ht="54">
      <c r="A345" s="60" t="s">
        <v>1170</v>
      </c>
      <c r="B345" s="60" t="s">
        <v>1171</v>
      </c>
      <c r="C345" s="61" t="s">
        <v>49</v>
      </c>
      <c r="D345" s="61" t="s">
        <v>737</v>
      </c>
      <c r="E345" s="62" t="s">
        <v>19</v>
      </c>
      <c r="F345" s="57" t="s">
        <v>618</v>
      </c>
      <c r="G345" s="60" t="s">
        <v>1172</v>
      </c>
      <c r="H345" s="60" t="s">
        <v>739</v>
      </c>
      <c r="I345" s="60"/>
      <c r="J345" s="58" t="s">
        <v>740</v>
      </c>
      <c r="K345" s="58" t="s">
        <v>54</v>
      </c>
      <c r="L345" s="58" t="s">
        <v>741</v>
      </c>
      <c r="M345" s="60"/>
      <c r="N345" s="65">
        <v>46251</v>
      </c>
      <c r="O345" s="60" t="s">
        <v>153</v>
      </c>
      <c r="P345" s="60"/>
      <c r="Q345" s="60" t="s">
        <v>82</v>
      </c>
      <c r="R345" s="60"/>
      <c r="S345" s="60" t="s">
        <v>1083</v>
      </c>
      <c r="T345" s="60"/>
      <c r="U345" s="61" t="s">
        <v>743</v>
      </c>
    </row>
    <row r="346" spans="1:21" ht="67.5">
      <c r="A346" s="60" t="s">
        <v>1173</v>
      </c>
      <c r="B346" s="60" t="s">
        <v>1174</v>
      </c>
      <c r="C346" s="61" t="s">
        <v>49</v>
      </c>
      <c r="D346" s="61" t="s">
        <v>737</v>
      </c>
      <c r="E346" s="62" t="s">
        <v>18</v>
      </c>
      <c r="F346" s="57" t="s">
        <v>618</v>
      </c>
      <c r="G346" s="60" t="s">
        <v>1175</v>
      </c>
      <c r="H346" s="60" t="s">
        <v>739</v>
      </c>
      <c r="I346" s="60"/>
      <c r="J346" s="58" t="s">
        <v>740</v>
      </c>
      <c r="K346" s="58" t="s">
        <v>54</v>
      </c>
      <c r="L346" s="58" t="s">
        <v>741</v>
      </c>
      <c r="M346" s="60"/>
      <c r="N346" s="65">
        <v>46251</v>
      </c>
      <c r="O346" s="60" t="s">
        <v>153</v>
      </c>
      <c r="P346" s="60"/>
      <c r="Q346" s="60" t="s">
        <v>82</v>
      </c>
      <c r="R346" s="60"/>
      <c r="S346" s="60" t="s">
        <v>1080</v>
      </c>
      <c r="T346" s="60"/>
      <c r="U346" s="61" t="s">
        <v>768</v>
      </c>
    </row>
    <row r="347" spans="1:21" ht="67.5">
      <c r="A347" s="60" t="s">
        <v>1176</v>
      </c>
      <c r="B347" s="60" t="s">
        <v>1177</v>
      </c>
      <c r="C347" s="61" t="s">
        <v>49</v>
      </c>
      <c r="D347" s="61" t="s">
        <v>737</v>
      </c>
      <c r="E347" s="62" t="s">
        <v>19</v>
      </c>
      <c r="F347" s="57" t="s">
        <v>618</v>
      </c>
      <c r="G347" s="60" t="s">
        <v>1178</v>
      </c>
      <c r="H347" s="60" t="s">
        <v>739</v>
      </c>
      <c r="I347" s="60"/>
      <c r="J347" s="58" t="s">
        <v>740</v>
      </c>
      <c r="K347" s="58" t="s">
        <v>54</v>
      </c>
      <c r="L347" s="58" t="s">
        <v>741</v>
      </c>
      <c r="M347" s="60"/>
      <c r="N347" s="65">
        <v>46251</v>
      </c>
      <c r="O347" s="60" t="s">
        <v>153</v>
      </c>
      <c r="P347" s="60"/>
      <c r="Q347" s="60" t="s">
        <v>82</v>
      </c>
      <c r="R347" s="60"/>
      <c r="S347" s="60" t="s">
        <v>1093</v>
      </c>
      <c r="T347" s="60"/>
      <c r="U347" s="61" t="s">
        <v>768</v>
      </c>
    </row>
    <row r="348" spans="1:21" ht="67.5">
      <c r="A348" s="60" t="s">
        <v>1179</v>
      </c>
      <c r="B348" s="60" t="s">
        <v>1180</v>
      </c>
      <c r="C348" s="61" t="s">
        <v>49</v>
      </c>
      <c r="D348" s="61" t="s">
        <v>737</v>
      </c>
      <c r="E348" s="62" t="s">
        <v>19</v>
      </c>
      <c r="F348" s="57" t="s">
        <v>618</v>
      </c>
      <c r="G348" s="60" t="s">
        <v>1181</v>
      </c>
      <c r="H348" s="60" t="s">
        <v>739</v>
      </c>
      <c r="I348" s="60"/>
      <c r="J348" s="58" t="s">
        <v>740</v>
      </c>
      <c r="K348" s="58" t="s">
        <v>54</v>
      </c>
      <c r="L348" s="58" t="s">
        <v>741</v>
      </c>
      <c r="M348" s="60"/>
      <c r="N348" s="65">
        <v>46251</v>
      </c>
      <c r="O348" s="60" t="s">
        <v>153</v>
      </c>
      <c r="P348" s="60"/>
      <c r="Q348" s="60" t="s">
        <v>89</v>
      </c>
      <c r="R348" s="60"/>
      <c r="S348" s="60" t="s">
        <v>1080</v>
      </c>
      <c r="T348" s="60"/>
      <c r="U348" s="61" t="s">
        <v>768</v>
      </c>
    </row>
    <row r="349" spans="1:21" ht="67.5">
      <c r="A349" s="60" t="s">
        <v>1182</v>
      </c>
      <c r="B349" s="60" t="s">
        <v>1183</v>
      </c>
      <c r="C349" s="61" t="s">
        <v>49</v>
      </c>
      <c r="D349" s="61" t="s">
        <v>737</v>
      </c>
      <c r="E349" s="62" t="s">
        <v>19</v>
      </c>
      <c r="F349" s="57" t="s">
        <v>618</v>
      </c>
      <c r="G349" s="60" t="s">
        <v>1184</v>
      </c>
      <c r="H349" s="60" t="s">
        <v>739</v>
      </c>
      <c r="I349" s="60"/>
      <c r="J349" s="58" t="s">
        <v>740</v>
      </c>
      <c r="K349" s="58" t="s">
        <v>54</v>
      </c>
      <c r="L349" s="58" t="s">
        <v>741</v>
      </c>
      <c r="M349" s="60"/>
      <c r="N349" s="65">
        <v>46251</v>
      </c>
      <c r="O349" s="60" t="s">
        <v>153</v>
      </c>
      <c r="P349" s="60"/>
      <c r="Q349" s="60" t="s">
        <v>89</v>
      </c>
      <c r="R349" s="60"/>
      <c r="S349" s="60" t="s">
        <v>1080</v>
      </c>
      <c r="T349" s="60"/>
      <c r="U349" s="61" t="s">
        <v>61</v>
      </c>
    </row>
    <row r="350" spans="1:21" ht="54">
      <c r="A350" s="60" t="s">
        <v>1185</v>
      </c>
      <c r="B350" s="60" t="s">
        <v>1186</v>
      </c>
      <c r="C350" s="61" t="s">
        <v>49</v>
      </c>
      <c r="D350" s="61" t="s">
        <v>737</v>
      </c>
      <c r="E350" s="62" t="s">
        <v>18</v>
      </c>
      <c r="F350" s="57" t="s">
        <v>618</v>
      </c>
      <c r="G350" s="60" t="s">
        <v>1187</v>
      </c>
      <c r="H350" s="60" t="s">
        <v>739</v>
      </c>
      <c r="I350" s="60"/>
      <c r="J350" s="58" t="s">
        <v>740</v>
      </c>
      <c r="K350" s="58" t="s">
        <v>54</v>
      </c>
      <c r="L350" s="58" t="s">
        <v>741</v>
      </c>
      <c r="M350" s="60"/>
      <c r="N350" s="65">
        <v>46251</v>
      </c>
      <c r="O350" s="60" t="s">
        <v>153</v>
      </c>
      <c r="P350" s="60"/>
      <c r="Q350" s="60" t="s">
        <v>82</v>
      </c>
      <c r="R350" s="60"/>
      <c r="S350" s="60" t="s">
        <v>1100</v>
      </c>
      <c r="T350" s="60"/>
      <c r="U350" s="61" t="s">
        <v>768</v>
      </c>
    </row>
    <row r="351" spans="1:21" ht="67.5">
      <c r="A351" s="60" t="s">
        <v>1188</v>
      </c>
      <c r="B351" s="60" t="s">
        <v>1189</v>
      </c>
      <c r="C351" s="61" t="s">
        <v>49</v>
      </c>
      <c r="D351" s="61" t="s">
        <v>737</v>
      </c>
      <c r="E351" s="62" t="s">
        <v>18</v>
      </c>
      <c r="F351" s="57" t="s">
        <v>618</v>
      </c>
      <c r="G351" s="60" t="s">
        <v>1190</v>
      </c>
      <c r="H351" s="60" t="s">
        <v>739</v>
      </c>
      <c r="I351" s="60"/>
      <c r="J351" s="58" t="s">
        <v>740</v>
      </c>
      <c r="K351" s="58" t="s">
        <v>54</v>
      </c>
      <c r="L351" s="58" t="s">
        <v>741</v>
      </c>
      <c r="M351" s="60"/>
      <c r="N351" s="65">
        <v>46262</v>
      </c>
      <c r="O351" s="60" t="s">
        <v>153</v>
      </c>
      <c r="P351" s="60"/>
      <c r="Q351" s="60" t="s">
        <v>82</v>
      </c>
      <c r="R351" s="60"/>
      <c r="S351" s="60" t="s">
        <v>1080</v>
      </c>
      <c r="T351" s="60"/>
      <c r="U351" s="61" t="s">
        <v>61</v>
      </c>
    </row>
    <row r="352" spans="1:21" ht="54">
      <c r="A352" s="60" t="s">
        <v>1191</v>
      </c>
      <c r="B352" s="60" t="s">
        <v>1192</v>
      </c>
      <c r="C352" s="61" t="s">
        <v>49</v>
      </c>
      <c r="D352" s="61" t="s">
        <v>737</v>
      </c>
      <c r="E352" s="62" t="s">
        <v>19</v>
      </c>
      <c r="F352" s="57" t="s">
        <v>618</v>
      </c>
      <c r="G352" s="60" t="s">
        <v>1193</v>
      </c>
      <c r="H352" s="60" t="s">
        <v>739</v>
      </c>
      <c r="I352" s="60"/>
      <c r="J352" s="58" t="s">
        <v>740</v>
      </c>
      <c r="K352" s="58" t="s">
        <v>54</v>
      </c>
      <c r="L352" s="58" t="s">
        <v>741</v>
      </c>
      <c r="M352" s="60"/>
      <c r="N352" s="65">
        <v>46262</v>
      </c>
      <c r="O352" s="60" t="s">
        <v>153</v>
      </c>
      <c r="P352" s="60"/>
      <c r="Q352" s="60" t="s">
        <v>82</v>
      </c>
      <c r="R352" s="60"/>
      <c r="S352" s="60" t="s">
        <v>1106</v>
      </c>
      <c r="T352" s="60"/>
      <c r="U352" s="61" t="s">
        <v>768</v>
      </c>
    </row>
    <row r="353" spans="1:21" ht="54">
      <c r="A353" s="60" t="s">
        <v>1194</v>
      </c>
      <c r="B353" s="60" t="s">
        <v>1195</v>
      </c>
      <c r="C353" s="61" t="s">
        <v>49</v>
      </c>
      <c r="D353" s="61" t="s">
        <v>737</v>
      </c>
      <c r="E353" s="62" t="s">
        <v>19</v>
      </c>
      <c r="F353" s="57" t="s">
        <v>618</v>
      </c>
      <c r="G353" s="60" t="s">
        <v>1196</v>
      </c>
      <c r="H353" s="60" t="s">
        <v>739</v>
      </c>
      <c r="I353" s="60"/>
      <c r="J353" s="58" t="s">
        <v>740</v>
      </c>
      <c r="K353" s="58" t="s">
        <v>54</v>
      </c>
      <c r="L353" s="58" t="s">
        <v>741</v>
      </c>
      <c r="M353" s="60"/>
      <c r="N353" s="65">
        <v>46262</v>
      </c>
      <c r="O353" s="60" t="s">
        <v>153</v>
      </c>
      <c r="P353" s="60"/>
      <c r="Q353" s="60" t="s">
        <v>82</v>
      </c>
      <c r="R353" s="60"/>
      <c r="S353" s="60" t="s">
        <v>1080</v>
      </c>
      <c r="T353" s="60"/>
      <c r="U353" s="61" t="s">
        <v>768</v>
      </c>
    </row>
    <row r="354" spans="1:21" ht="54">
      <c r="A354" s="60" t="s">
        <v>1197</v>
      </c>
      <c r="B354" s="60" t="s">
        <v>1198</v>
      </c>
      <c r="C354" s="61" t="s">
        <v>49</v>
      </c>
      <c r="D354" s="61" t="s">
        <v>737</v>
      </c>
      <c r="E354" s="62" t="s">
        <v>19</v>
      </c>
      <c r="F354" s="57" t="s">
        <v>618</v>
      </c>
      <c r="G354" s="60" t="s">
        <v>1199</v>
      </c>
      <c r="H354" s="60" t="s">
        <v>739</v>
      </c>
      <c r="I354" s="60"/>
      <c r="J354" s="58" t="s">
        <v>740</v>
      </c>
      <c r="K354" s="58" t="s">
        <v>54</v>
      </c>
      <c r="L354" s="58" t="s">
        <v>741</v>
      </c>
      <c r="M354" s="60"/>
      <c r="N354" s="65">
        <v>46262</v>
      </c>
      <c r="O354" s="60" t="s">
        <v>153</v>
      </c>
      <c r="P354" s="60"/>
      <c r="Q354" s="60" t="s">
        <v>82</v>
      </c>
      <c r="R354" s="60"/>
      <c r="S354" s="60" t="s">
        <v>1080</v>
      </c>
      <c r="T354" s="60"/>
      <c r="U354" s="61" t="s">
        <v>768</v>
      </c>
    </row>
    <row r="355" spans="1:21" ht="54">
      <c r="A355" s="60" t="s">
        <v>1200</v>
      </c>
      <c r="B355" s="60" t="s">
        <v>1201</v>
      </c>
      <c r="C355" s="61" t="s">
        <v>49</v>
      </c>
      <c r="D355" s="61" t="s">
        <v>737</v>
      </c>
      <c r="E355" s="62" t="s">
        <v>21</v>
      </c>
      <c r="F355" s="57" t="s">
        <v>618</v>
      </c>
      <c r="G355" s="60" t="s">
        <v>1202</v>
      </c>
      <c r="H355" s="60" t="s">
        <v>739</v>
      </c>
      <c r="I355" s="60"/>
      <c r="J355" s="58" t="s">
        <v>740</v>
      </c>
      <c r="K355" s="58" t="s">
        <v>54</v>
      </c>
      <c r="L355" s="58" t="s">
        <v>741</v>
      </c>
      <c r="M355" s="60"/>
      <c r="N355" s="65">
        <v>46262</v>
      </c>
      <c r="O355" s="60" t="s">
        <v>153</v>
      </c>
      <c r="P355" s="60"/>
      <c r="Q355" s="60" t="s">
        <v>89</v>
      </c>
      <c r="R355" s="60"/>
      <c r="S355" s="60" t="s">
        <v>1080</v>
      </c>
      <c r="T355" s="60"/>
      <c r="U355" s="61" t="s">
        <v>61</v>
      </c>
    </row>
    <row r="356" spans="1:21" ht="94.5">
      <c r="A356" s="60" t="s">
        <v>1203</v>
      </c>
      <c r="B356" s="60" t="s">
        <v>1204</v>
      </c>
      <c r="C356" s="61" t="s">
        <v>49</v>
      </c>
      <c r="D356" s="61" t="s">
        <v>737</v>
      </c>
      <c r="E356" s="62" t="s">
        <v>18</v>
      </c>
      <c r="F356" s="57" t="s">
        <v>618</v>
      </c>
      <c r="G356" s="60" t="s">
        <v>1205</v>
      </c>
      <c r="H356" s="60" t="s">
        <v>739</v>
      </c>
      <c r="I356" s="60"/>
      <c r="J356" s="58" t="s">
        <v>740</v>
      </c>
      <c r="K356" s="58" t="s">
        <v>54</v>
      </c>
      <c r="L356" s="58" t="s">
        <v>741</v>
      </c>
      <c r="M356" s="60"/>
      <c r="N356" s="65">
        <v>46262</v>
      </c>
      <c r="O356" s="60" t="s">
        <v>153</v>
      </c>
      <c r="P356" s="60"/>
      <c r="Q356" s="60" t="s">
        <v>82</v>
      </c>
      <c r="R356" s="60"/>
      <c r="S356" s="60" t="s">
        <v>841</v>
      </c>
      <c r="T356" s="60"/>
      <c r="U356" s="61" t="s">
        <v>743</v>
      </c>
    </row>
    <row r="357" spans="1:21" ht="67.5">
      <c r="A357" s="60" t="s">
        <v>1206</v>
      </c>
      <c r="B357" s="60" t="s">
        <v>1207</v>
      </c>
      <c r="C357" s="61" t="s">
        <v>49</v>
      </c>
      <c r="D357" s="61" t="s">
        <v>737</v>
      </c>
      <c r="E357" s="62" t="s">
        <v>19</v>
      </c>
      <c r="F357" s="57" t="s">
        <v>618</v>
      </c>
      <c r="G357" s="60" t="s">
        <v>1208</v>
      </c>
      <c r="H357" s="60" t="s">
        <v>739</v>
      </c>
      <c r="I357" s="60"/>
      <c r="J357" s="58" t="s">
        <v>740</v>
      </c>
      <c r="K357" s="58" t="s">
        <v>54</v>
      </c>
      <c r="L357" s="58" t="s">
        <v>741</v>
      </c>
      <c r="M357" s="60"/>
      <c r="N357" s="65">
        <v>46262</v>
      </c>
      <c r="O357" s="60" t="s">
        <v>153</v>
      </c>
      <c r="P357" s="60"/>
      <c r="Q357" s="60" t="s">
        <v>82</v>
      </c>
      <c r="R357" s="60"/>
      <c r="S357" s="60" t="s">
        <v>908</v>
      </c>
      <c r="T357" s="60"/>
      <c r="U357" s="61" t="s">
        <v>743</v>
      </c>
    </row>
    <row r="358" spans="1:21" ht="94.5">
      <c r="A358" s="60" t="s">
        <v>1209</v>
      </c>
      <c r="B358" s="60" t="s">
        <v>1210</v>
      </c>
      <c r="C358" s="61" t="s">
        <v>49</v>
      </c>
      <c r="D358" s="61" t="s">
        <v>737</v>
      </c>
      <c r="E358" s="62" t="s">
        <v>18</v>
      </c>
      <c r="F358" s="57" t="s">
        <v>618</v>
      </c>
      <c r="G358" s="60" t="s">
        <v>1211</v>
      </c>
      <c r="H358" s="60" t="s">
        <v>739</v>
      </c>
      <c r="I358" s="60"/>
      <c r="J358" s="58" t="s">
        <v>740</v>
      </c>
      <c r="K358" s="58" t="s">
        <v>54</v>
      </c>
      <c r="L358" s="58" t="s">
        <v>741</v>
      </c>
      <c r="M358" s="60"/>
      <c r="N358" s="65">
        <v>46262</v>
      </c>
      <c r="O358" s="60" t="s">
        <v>153</v>
      </c>
      <c r="P358" s="60"/>
      <c r="Q358" s="60" t="s">
        <v>82</v>
      </c>
      <c r="R358" s="60"/>
      <c r="S358" s="60" t="s">
        <v>1000</v>
      </c>
      <c r="T358" s="60"/>
      <c r="U358" s="61" t="s">
        <v>61</v>
      </c>
    </row>
    <row r="359" spans="1:21" ht="54">
      <c r="A359" s="60" t="s">
        <v>1212</v>
      </c>
      <c r="B359" s="60" t="s">
        <v>1213</v>
      </c>
      <c r="C359" s="61" t="s">
        <v>49</v>
      </c>
      <c r="D359" s="61" t="s">
        <v>737</v>
      </c>
      <c r="E359" s="62" t="s">
        <v>19</v>
      </c>
      <c r="F359" s="57" t="s">
        <v>618</v>
      </c>
      <c r="G359" s="60" t="s">
        <v>1214</v>
      </c>
      <c r="H359" s="60" t="s">
        <v>739</v>
      </c>
      <c r="I359" s="60"/>
      <c r="J359" s="58" t="s">
        <v>740</v>
      </c>
      <c r="K359" s="58" t="s">
        <v>54</v>
      </c>
      <c r="L359" s="58" t="s">
        <v>741</v>
      </c>
      <c r="M359" s="60"/>
      <c r="N359" s="65">
        <v>46262</v>
      </c>
      <c r="O359" s="60" t="s">
        <v>153</v>
      </c>
      <c r="P359" s="60"/>
      <c r="Q359" s="60" t="s">
        <v>82</v>
      </c>
      <c r="R359" s="60"/>
      <c r="S359" s="60" t="s">
        <v>1051</v>
      </c>
      <c r="T359" s="60"/>
      <c r="U359" s="61" t="s">
        <v>61</v>
      </c>
    </row>
    <row r="360" spans="1:21" ht="67.5">
      <c r="A360" s="60" t="s">
        <v>1215</v>
      </c>
      <c r="B360" s="60" t="s">
        <v>1216</v>
      </c>
      <c r="C360" s="61" t="s">
        <v>49</v>
      </c>
      <c r="D360" s="61" t="s">
        <v>737</v>
      </c>
      <c r="E360" s="62" t="s">
        <v>19</v>
      </c>
      <c r="F360" s="57" t="s">
        <v>618</v>
      </c>
      <c r="G360" s="60" t="s">
        <v>1217</v>
      </c>
      <c r="H360" s="60" t="s">
        <v>739</v>
      </c>
      <c r="I360" s="60"/>
      <c r="J360" s="58" t="s">
        <v>740</v>
      </c>
      <c r="K360" s="58" t="s">
        <v>54</v>
      </c>
      <c r="L360" s="58" t="s">
        <v>741</v>
      </c>
      <c r="M360" s="60"/>
      <c r="N360" s="65">
        <v>46262</v>
      </c>
      <c r="O360" s="60" t="s">
        <v>153</v>
      </c>
      <c r="P360" s="60"/>
      <c r="Q360" s="60" t="s">
        <v>82</v>
      </c>
      <c r="R360" s="60"/>
      <c r="S360" s="60" t="s">
        <v>1057</v>
      </c>
      <c r="T360" s="60"/>
      <c r="U360" s="61" t="s">
        <v>61</v>
      </c>
    </row>
    <row r="361" spans="1:21" ht="67.5">
      <c r="A361" s="60" t="s">
        <v>1218</v>
      </c>
      <c r="B361" s="60" t="s">
        <v>1219</v>
      </c>
      <c r="C361" s="61" t="s">
        <v>49</v>
      </c>
      <c r="D361" s="61" t="s">
        <v>737</v>
      </c>
      <c r="E361" s="62" t="s">
        <v>19</v>
      </c>
      <c r="F361" s="57" t="s">
        <v>618</v>
      </c>
      <c r="G361" s="60" t="s">
        <v>1220</v>
      </c>
      <c r="H361" s="60" t="s">
        <v>739</v>
      </c>
      <c r="I361" s="60"/>
      <c r="J361" s="58" t="s">
        <v>740</v>
      </c>
      <c r="K361" s="58" t="s">
        <v>54</v>
      </c>
      <c r="L361" s="58" t="s">
        <v>741</v>
      </c>
      <c r="M361" s="60"/>
      <c r="N361" s="65">
        <v>46262</v>
      </c>
      <c r="O361" s="60" t="s">
        <v>153</v>
      </c>
      <c r="P361" s="60"/>
      <c r="Q361" s="60" t="s">
        <v>82</v>
      </c>
      <c r="R361" s="60"/>
      <c r="S361" s="60" t="s">
        <v>1018</v>
      </c>
      <c r="T361" s="60"/>
      <c r="U361" s="61" t="s">
        <v>61</v>
      </c>
    </row>
    <row r="362" spans="1:21" ht="67.5">
      <c r="A362" s="60" t="s">
        <v>1221</v>
      </c>
      <c r="B362" s="60" t="s">
        <v>1222</v>
      </c>
      <c r="C362" s="61" t="s">
        <v>49</v>
      </c>
      <c r="D362" s="61" t="s">
        <v>737</v>
      </c>
      <c r="E362" s="62" t="s">
        <v>19</v>
      </c>
      <c r="F362" s="57" t="s">
        <v>618</v>
      </c>
      <c r="G362" s="60" t="s">
        <v>1223</v>
      </c>
      <c r="H362" s="60" t="s">
        <v>739</v>
      </c>
      <c r="I362" s="60"/>
      <c r="J362" s="58" t="s">
        <v>740</v>
      </c>
      <c r="K362" s="58" t="s">
        <v>54</v>
      </c>
      <c r="L362" s="58" t="s">
        <v>741</v>
      </c>
      <c r="M362" s="60"/>
      <c r="N362" s="65">
        <v>46262</v>
      </c>
      <c r="O362" s="60" t="s">
        <v>153</v>
      </c>
      <c r="P362" s="60"/>
      <c r="Q362" s="60" t="s">
        <v>82</v>
      </c>
      <c r="R362" s="60"/>
      <c r="S362" s="60" t="s">
        <v>1109</v>
      </c>
      <c r="T362" s="60"/>
      <c r="U362" s="61" t="s">
        <v>743</v>
      </c>
    </row>
    <row r="363" spans="1:21" ht="67.5">
      <c r="A363" s="60" t="s">
        <v>1224</v>
      </c>
      <c r="B363" s="60" t="s">
        <v>1225</v>
      </c>
      <c r="C363" s="61" t="s">
        <v>49</v>
      </c>
      <c r="D363" s="61" t="s">
        <v>737</v>
      </c>
      <c r="E363" s="62" t="s">
        <v>19</v>
      </c>
      <c r="F363" s="57" t="s">
        <v>618</v>
      </c>
      <c r="G363" s="60" t="s">
        <v>1226</v>
      </c>
      <c r="H363" s="60"/>
      <c r="I363" s="60"/>
      <c r="J363" s="58" t="s">
        <v>740</v>
      </c>
      <c r="K363" s="58" t="s">
        <v>54</v>
      </c>
      <c r="L363" s="58" t="s">
        <v>741</v>
      </c>
      <c r="M363" s="60"/>
      <c r="N363" s="65">
        <v>46262</v>
      </c>
      <c r="O363" s="60" t="s">
        <v>153</v>
      </c>
      <c r="P363" s="60"/>
      <c r="Q363" s="60" t="s">
        <v>82</v>
      </c>
      <c r="R363" s="60"/>
      <c r="S363" s="60" t="s">
        <v>1069</v>
      </c>
      <c r="T363" s="60"/>
      <c r="U363" s="61" t="s">
        <v>743</v>
      </c>
    </row>
    <row r="364" spans="1:21" ht="81">
      <c r="A364" s="60" t="s">
        <v>1227</v>
      </c>
      <c r="B364" s="60" t="s">
        <v>1228</v>
      </c>
      <c r="C364" s="61" t="s">
        <v>49</v>
      </c>
      <c r="D364" s="61" t="s">
        <v>737</v>
      </c>
      <c r="E364" s="62" t="s">
        <v>19</v>
      </c>
      <c r="F364" s="57" t="s">
        <v>618</v>
      </c>
      <c r="G364" s="60" t="s">
        <v>1229</v>
      </c>
      <c r="H364" s="60"/>
      <c r="I364" s="60"/>
      <c r="J364" s="58" t="s">
        <v>740</v>
      </c>
      <c r="K364" s="58" t="s">
        <v>54</v>
      </c>
      <c r="L364" s="58" t="s">
        <v>741</v>
      </c>
      <c r="M364" s="60"/>
      <c r="N364" s="65">
        <v>46262</v>
      </c>
      <c r="O364" s="60" t="s">
        <v>153</v>
      </c>
      <c r="P364" s="60"/>
      <c r="Q364" s="60" t="s">
        <v>82</v>
      </c>
      <c r="R364" s="60"/>
      <c r="S364" s="60" t="s">
        <v>1018</v>
      </c>
      <c r="T364" s="60"/>
      <c r="U364" s="61" t="s">
        <v>61</v>
      </c>
    </row>
    <row r="365" spans="1:21" ht="135">
      <c r="A365" s="60" t="s">
        <v>1230</v>
      </c>
      <c r="B365" s="60" t="s">
        <v>1231</v>
      </c>
      <c r="C365" s="61" t="s">
        <v>49</v>
      </c>
      <c r="D365" s="61" t="s">
        <v>737</v>
      </c>
      <c r="E365" s="62" t="s">
        <v>21</v>
      </c>
      <c r="F365" s="57" t="s">
        <v>618</v>
      </c>
      <c r="G365" s="60" t="s">
        <v>1232</v>
      </c>
      <c r="H365" s="60"/>
      <c r="I365" s="60"/>
      <c r="J365" s="58" t="s">
        <v>740</v>
      </c>
      <c r="K365" s="58" t="s">
        <v>54</v>
      </c>
      <c r="L365" s="58" t="s">
        <v>741</v>
      </c>
      <c r="M365" s="60"/>
      <c r="N365" s="65">
        <v>46265</v>
      </c>
      <c r="O365" s="60" t="s">
        <v>153</v>
      </c>
      <c r="P365" s="60"/>
      <c r="Q365" s="60" t="s">
        <v>89</v>
      </c>
      <c r="R365" s="60" t="s">
        <v>21</v>
      </c>
      <c r="S365" s="60" t="s">
        <v>969</v>
      </c>
      <c r="T365" s="60" t="s">
        <v>60</v>
      </c>
      <c r="U365" s="61" t="s">
        <v>61</v>
      </c>
    </row>
    <row r="366" spans="1:21" ht="175.5">
      <c r="A366" s="60" t="s">
        <v>1233</v>
      </c>
      <c r="B366" s="60" t="s">
        <v>1234</v>
      </c>
      <c r="C366" s="61" t="s">
        <v>49</v>
      </c>
      <c r="D366" s="61" t="s">
        <v>737</v>
      </c>
      <c r="E366" s="62" t="s">
        <v>19</v>
      </c>
      <c r="F366" s="57" t="s">
        <v>618</v>
      </c>
      <c r="G366" s="60" t="s">
        <v>1235</v>
      </c>
      <c r="H366" s="60"/>
      <c r="I366" s="60"/>
      <c r="J366" s="58" t="s">
        <v>740</v>
      </c>
      <c r="K366" s="58" t="s">
        <v>54</v>
      </c>
      <c r="L366" s="58" t="s">
        <v>741</v>
      </c>
      <c r="M366" s="60"/>
      <c r="N366" s="65">
        <v>46265</v>
      </c>
      <c r="O366" s="60" t="s">
        <v>153</v>
      </c>
      <c r="P366" s="60"/>
      <c r="Q366" s="60" t="s">
        <v>82</v>
      </c>
      <c r="R366" s="60" t="s">
        <v>19</v>
      </c>
      <c r="S366" s="60" t="s">
        <v>1227</v>
      </c>
      <c r="T366" s="60" t="s">
        <v>141</v>
      </c>
      <c r="U366" s="61" t="s">
        <v>768</v>
      </c>
    </row>
    <row r="367" spans="1:21" ht="216">
      <c r="A367" s="60" t="s">
        <v>1236</v>
      </c>
      <c r="B367" s="60" t="s">
        <v>1237</v>
      </c>
      <c r="C367" s="61" t="s">
        <v>49</v>
      </c>
      <c r="D367" s="61" t="s">
        <v>737</v>
      </c>
      <c r="E367" s="62" t="s">
        <v>19</v>
      </c>
      <c r="F367" s="57" t="s">
        <v>618</v>
      </c>
      <c r="G367" s="60" t="s">
        <v>1238</v>
      </c>
      <c r="H367" s="60"/>
      <c r="I367" s="60"/>
      <c r="J367" s="58" t="s">
        <v>740</v>
      </c>
      <c r="K367" s="58" t="s">
        <v>54</v>
      </c>
      <c r="L367" s="58" t="s">
        <v>741</v>
      </c>
      <c r="M367" s="60"/>
      <c r="N367" s="65">
        <v>46265</v>
      </c>
      <c r="O367" s="60" t="s">
        <v>153</v>
      </c>
      <c r="P367" s="60"/>
      <c r="Q367" s="60" t="s">
        <v>82</v>
      </c>
      <c r="R367" s="60" t="s">
        <v>19</v>
      </c>
      <c r="S367" s="60" t="s">
        <v>1239</v>
      </c>
      <c r="T367" s="60" t="s">
        <v>83</v>
      </c>
      <c r="U367" s="61" t="s">
        <v>768</v>
      </c>
    </row>
    <row r="368" spans="1:21" ht="81">
      <c r="A368" s="60" t="s">
        <v>1240</v>
      </c>
      <c r="B368" s="60" t="s">
        <v>1241</v>
      </c>
      <c r="C368" s="61" t="s">
        <v>49</v>
      </c>
      <c r="D368" s="61" t="s">
        <v>1242</v>
      </c>
      <c r="E368" s="62" t="s">
        <v>19</v>
      </c>
      <c r="F368" s="57" t="s">
        <v>618</v>
      </c>
      <c r="G368" s="60" t="s">
        <v>1243</v>
      </c>
      <c r="H368" s="60"/>
      <c r="I368" s="60"/>
      <c r="J368" s="58" t="s">
        <v>740</v>
      </c>
      <c r="K368" s="58" t="s">
        <v>54</v>
      </c>
      <c r="L368" s="58" t="s">
        <v>741</v>
      </c>
      <c r="M368" s="60"/>
      <c r="N368" s="65">
        <v>46237</v>
      </c>
      <c r="O368" s="60" t="s">
        <v>153</v>
      </c>
      <c r="P368" s="60"/>
      <c r="Q368" s="60" t="s">
        <v>82</v>
      </c>
      <c r="R368" s="60"/>
      <c r="S368" s="60" t="s">
        <v>742</v>
      </c>
      <c r="T368" s="60"/>
      <c r="U368" s="61" t="s">
        <v>61</v>
      </c>
    </row>
    <row r="369" spans="1:21" ht="27">
      <c r="A369" s="60" t="s">
        <v>1244</v>
      </c>
      <c r="B369" s="60" t="s">
        <v>63</v>
      </c>
      <c r="C369" s="61" t="s">
        <v>49</v>
      </c>
      <c r="D369" s="61" t="s">
        <v>1242</v>
      </c>
      <c r="E369" s="56" t="s">
        <v>21</v>
      </c>
      <c r="F369" s="57" t="s">
        <v>618</v>
      </c>
      <c r="G369" s="60" t="s">
        <v>64</v>
      </c>
      <c r="H369" s="60"/>
      <c r="I369" s="60"/>
      <c r="J369" s="58" t="s">
        <v>465</v>
      </c>
      <c r="K369" s="58" t="s">
        <v>466</v>
      </c>
      <c r="L369" s="58" t="s">
        <v>288</v>
      </c>
      <c r="M369" s="60" t="s">
        <v>56</v>
      </c>
      <c r="N369" s="65">
        <v>46237</v>
      </c>
      <c r="O369" s="60" t="s">
        <v>65</v>
      </c>
      <c r="P369" s="60" t="s">
        <v>1245</v>
      </c>
      <c r="Q369" s="60" t="s">
        <v>59</v>
      </c>
      <c r="R369" s="60" t="s">
        <v>19</v>
      </c>
      <c r="S369" s="60"/>
      <c r="T369" s="60" t="s">
        <v>60</v>
      </c>
      <c r="U369" s="61" t="s">
        <v>61</v>
      </c>
    </row>
    <row r="370" spans="1:21" ht="67.5">
      <c r="A370" s="60" t="s">
        <v>1246</v>
      </c>
      <c r="B370" s="60" t="s">
        <v>1247</v>
      </c>
      <c r="C370" s="61" t="s">
        <v>49</v>
      </c>
      <c r="D370" s="61" t="s">
        <v>1242</v>
      </c>
      <c r="E370" s="62" t="s">
        <v>19</v>
      </c>
      <c r="F370" s="57" t="s">
        <v>618</v>
      </c>
      <c r="G370" s="60" t="s">
        <v>1248</v>
      </c>
      <c r="H370" s="60"/>
      <c r="I370" s="60"/>
      <c r="J370" s="58" t="s">
        <v>740</v>
      </c>
      <c r="K370" s="58" t="s">
        <v>54</v>
      </c>
      <c r="L370" s="58" t="s">
        <v>741</v>
      </c>
      <c r="M370" s="60"/>
      <c r="N370" s="65">
        <v>46237</v>
      </c>
      <c r="O370" s="60" t="s">
        <v>153</v>
      </c>
      <c r="P370" s="60"/>
      <c r="Q370" s="60" t="s">
        <v>82</v>
      </c>
      <c r="R370" s="60"/>
      <c r="S370" s="60" t="s">
        <v>1240</v>
      </c>
      <c r="T370" s="60"/>
      <c r="U370" s="61" t="s">
        <v>61</v>
      </c>
    </row>
    <row r="371" spans="1:21" ht="108">
      <c r="A371" s="60" t="s">
        <v>1249</v>
      </c>
      <c r="B371" s="60" t="s">
        <v>1250</v>
      </c>
      <c r="C371" s="61" t="s">
        <v>49</v>
      </c>
      <c r="D371" s="61" t="s">
        <v>1242</v>
      </c>
      <c r="E371" s="62" t="s">
        <v>19</v>
      </c>
      <c r="F371" s="57" t="s">
        <v>618</v>
      </c>
      <c r="G371" s="60" t="s">
        <v>1251</v>
      </c>
      <c r="H371" s="60"/>
      <c r="I371" s="60"/>
      <c r="J371" s="58" t="s">
        <v>740</v>
      </c>
      <c r="K371" s="58" t="s">
        <v>54</v>
      </c>
      <c r="L371" s="58" t="s">
        <v>741</v>
      </c>
      <c r="M371" s="60"/>
      <c r="N371" s="65">
        <v>46237</v>
      </c>
      <c r="O371" s="60" t="s">
        <v>153</v>
      </c>
      <c r="P371" s="60"/>
      <c r="Q371" s="60" t="s">
        <v>82</v>
      </c>
      <c r="R371" s="60"/>
      <c r="S371" s="60" t="s">
        <v>1249</v>
      </c>
      <c r="T371" s="60"/>
      <c r="U371" s="61" t="s">
        <v>61</v>
      </c>
    </row>
    <row r="372" spans="1:21" ht="67.5">
      <c r="A372" s="60" t="s">
        <v>1252</v>
      </c>
      <c r="B372" s="60" t="s">
        <v>1253</v>
      </c>
      <c r="C372" s="61" t="s">
        <v>49</v>
      </c>
      <c r="D372" s="61" t="s">
        <v>1242</v>
      </c>
      <c r="E372" s="62" t="s">
        <v>1254</v>
      </c>
      <c r="F372" s="57" t="s">
        <v>618</v>
      </c>
      <c r="G372" s="60" t="s">
        <v>1255</v>
      </c>
      <c r="H372" s="60"/>
      <c r="I372" s="60"/>
      <c r="J372" s="58" t="s">
        <v>740</v>
      </c>
      <c r="K372" s="58" t="s">
        <v>54</v>
      </c>
      <c r="L372" s="58" t="s">
        <v>741</v>
      </c>
      <c r="M372" s="60"/>
      <c r="N372" s="65">
        <v>46237</v>
      </c>
      <c r="O372" s="60" t="s">
        <v>153</v>
      </c>
      <c r="P372" s="60"/>
      <c r="Q372" s="60" t="s">
        <v>82</v>
      </c>
      <c r="R372" s="60"/>
      <c r="S372" s="60" t="s">
        <v>1240</v>
      </c>
      <c r="T372" s="60"/>
      <c r="U372" s="61" t="s">
        <v>61</v>
      </c>
    </row>
    <row r="373" spans="1:21" ht="67.5">
      <c r="A373" s="60" t="s">
        <v>1256</v>
      </c>
      <c r="B373" s="60" t="s">
        <v>1257</v>
      </c>
      <c r="C373" s="61" t="s">
        <v>49</v>
      </c>
      <c r="D373" s="61" t="s">
        <v>1242</v>
      </c>
      <c r="E373" s="62" t="s">
        <v>19</v>
      </c>
      <c r="F373" s="57" t="s">
        <v>618</v>
      </c>
      <c r="G373" s="60" t="s">
        <v>1258</v>
      </c>
      <c r="H373" s="60"/>
      <c r="I373" s="60"/>
      <c r="J373" s="58" t="s">
        <v>740</v>
      </c>
      <c r="K373" s="58" t="s">
        <v>54</v>
      </c>
      <c r="L373" s="58" t="s">
        <v>741</v>
      </c>
      <c r="M373" s="60"/>
      <c r="N373" s="65">
        <v>46237</v>
      </c>
      <c r="O373" s="60" t="s">
        <v>153</v>
      </c>
      <c r="P373" s="60"/>
      <c r="Q373" s="60" t="s">
        <v>82</v>
      </c>
      <c r="R373" s="60"/>
      <c r="S373" s="60" t="s">
        <v>1249</v>
      </c>
      <c r="T373" s="60"/>
      <c r="U373" s="61" t="s">
        <v>61</v>
      </c>
    </row>
    <row r="374" spans="1:21" ht="54">
      <c r="A374" s="60" t="s">
        <v>1259</v>
      </c>
      <c r="B374" s="60" t="s">
        <v>1260</v>
      </c>
      <c r="C374" s="61" t="s">
        <v>49</v>
      </c>
      <c r="D374" s="61" t="s">
        <v>1242</v>
      </c>
      <c r="E374" s="62" t="s">
        <v>19</v>
      </c>
      <c r="F374" s="57" t="s">
        <v>618</v>
      </c>
      <c r="G374" s="60" t="s">
        <v>1261</v>
      </c>
      <c r="H374" s="60"/>
      <c r="I374" s="60"/>
      <c r="J374" s="58" t="s">
        <v>740</v>
      </c>
      <c r="K374" s="58" t="s">
        <v>54</v>
      </c>
      <c r="L374" s="58" t="s">
        <v>741</v>
      </c>
      <c r="M374" s="60"/>
      <c r="N374" s="65">
        <v>46237</v>
      </c>
      <c r="O374" s="60" t="s">
        <v>153</v>
      </c>
      <c r="P374" s="60"/>
      <c r="Q374" s="60" t="s">
        <v>82</v>
      </c>
      <c r="R374" s="60"/>
      <c r="S374" s="60" t="s">
        <v>1249</v>
      </c>
      <c r="T374" s="60"/>
      <c r="U374" s="61" t="s">
        <v>61</v>
      </c>
    </row>
    <row r="375" spans="1:21" ht="54">
      <c r="A375" s="60" t="s">
        <v>1262</v>
      </c>
      <c r="B375" s="60" t="s">
        <v>1263</v>
      </c>
      <c r="C375" s="61" t="s">
        <v>49</v>
      </c>
      <c r="D375" s="61" t="s">
        <v>1242</v>
      </c>
      <c r="E375" s="62" t="s">
        <v>19</v>
      </c>
      <c r="F375" s="57" t="s">
        <v>618</v>
      </c>
      <c r="G375" s="60" t="s">
        <v>1264</v>
      </c>
      <c r="H375" s="60"/>
      <c r="I375" s="60"/>
      <c r="J375" s="58" t="s">
        <v>740</v>
      </c>
      <c r="K375" s="58" t="s">
        <v>54</v>
      </c>
      <c r="L375" s="58" t="s">
        <v>741</v>
      </c>
      <c r="M375" s="60"/>
      <c r="N375" s="65">
        <v>46237</v>
      </c>
      <c r="O375" s="60" t="s">
        <v>153</v>
      </c>
      <c r="P375" s="60"/>
      <c r="Q375" s="60" t="s">
        <v>82</v>
      </c>
      <c r="R375" s="60"/>
      <c r="S375" s="60" t="s">
        <v>1249</v>
      </c>
      <c r="T375" s="60"/>
      <c r="U375" s="61" t="s">
        <v>61</v>
      </c>
    </row>
    <row r="376" spans="1:21" ht="54">
      <c r="A376" s="60" t="s">
        <v>1265</v>
      </c>
      <c r="B376" s="60" t="s">
        <v>1266</v>
      </c>
      <c r="C376" s="61" t="s">
        <v>49</v>
      </c>
      <c r="D376" s="61" t="s">
        <v>1242</v>
      </c>
      <c r="E376" s="62" t="s">
        <v>19</v>
      </c>
      <c r="F376" s="57" t="s">
        <v>618</v>
      </c>
      <c r="G376" s="60" t="s">
        <v>1267</v>
      </c>
      <c r="H376" s="60"/>
      <c r="I376" s="60"/>
      <c r="J376" s="58" t="s">
        <v>740</v>
      </c>
      <c r="K376" s="58" t="s">
        <v>54</v>
      </c>
      <c r="L376" s="58" t="s">
        <v>741</v>
      </c>
      <c r="M376" s="60"/>
      <c r="N376" s="65">
        <v>46237</v>
      </c>
      <c r="O376" s="60" t="s">
        <v>153</v>
      </c>
      <c r="P376" s="60"/>
      <c r="Q376" s="60" t="s">
        <v>82</v>
      </c>
      <c r="R376" s="60"/>
      <c r="S376" s="60" t="s">
        <v>1249</v>
      </c>
      <c r="T376" s="60"/>
      <c r="U376" s="61" t="s">
        <v>61</v>
      </c>
    </row>
    <row r="377" spans="1:21" ht="67.5">
      <c r="A377" s="60" t="s">
        <v>1268</v>
      </c>
      <c r="B377" s="60" t="s">
        <v>1269</v>
      </c>
      <c r="C377" s="61" t="s">
        <v>49</v>
      </c>
      <c r="D377" s="61" t="s">
        <v>1242</v>
      </c>
      <c r="E377" s="62" t="s">
        <v>19</v>
      </c>
      <c r="F377" s="57" t="s">
        <v>618</v>
      </c>
      <c r="G377" s="60" t="s">
        <v>1270</v>
      </c>
      <c r="H377" s="60"/>
      <c r="I377" s="60"/>
      <c r="J377" s="58" t="s">
        <v>740</v>
      </c>
      <c r="K377" s="58" t="s">
        <v>54</v>
      </c>
      <c r="L377" s="58" t="s">
        <v>741</v>
      </c>
      <c r="M377" s="60"/>
      <c r="N377" s="65">
        <v>46237</v>
      </c>
      <c r="O377" s="60" t="s">
        <v>153</v>
      </c>
      <c r="P377" s="60"/>
      <c r="Q377" s="60" t="s">
        <v>82</v>
      </c>
      <c r="R377" s="60"/>
      <c r="S377" s="60" t="s">
        <v>1240</v>
      </c>
      <c r="T377" s="60"/>
      <c r="U377" s="61" t="s">
        <v>61</v>
      </c>
    </row>
    <row r="378" spans="1:21" ht="40.5">
      <c r="A378" s="60" t="s">
        <v>1271</v>
      </c>
      <c r="B378" s="60" t="s">
        <v>1272</v>
      </c>
      <c r="C378" s="61" t="s">
        <v>49</v>
      </c>
      <c r="D378" s="61" t="s">
        <v>1242</v>
      </c>
      <c r="E378" s="62" t="s">
        <v>19</v>
      </c>
      <c r="F378" s="57" t="s">
        <v>618</v>
      </c>
      <c r="G378" s="60" t="s">
        <v>1273</v>
      </c>
      <c r="H378" s="60"/>
      <c r="I378" s="60"/>
      <c r="J378" s="58" t="s">
        <v>740</v>
      </c>
      <c r="K378" s="58" t="s">
        <v>54</v>
      </c>
      <c r="L378" s="58" t="s">
        <v>741</v>
      </c>
      <c r="M378" s="60"/>
      <c r="N378" s="65">
        <v>46237</v>
      </c>
      <c r="O378" s="60" t="s">
        <v>153</v>
      </c>
      <c r="P378" s="60"/>
      <c r="Q378" s="60" t="s">
        <v>82</v>
      </c>
      <c r="R378" s="60"/>
      <c r="S378" s="60" t="s">
        <v>1240</v>
      </c>
      <c r="T378" s="60"/>
      <c r="U378" s="61" t="s">
        <v>61</v>
      </c>
    </row>
    <row r="379" spans="1:21" ht="54">
      <c r="A379" s="60" t="s">
        <v>1274</v>
      </c>
      <c r="B379" s="60" t="s">
        <v>1275</v>
      </c>
      <c r="C379" s="61" t="s">
        <v>49</v>
      </c>
      <c r="D379" s="61" t="s">
        <v>1242</v>
      </c>
      <c r="E379" s="62" t="s">
        <v>19</v>
      </c>
      <c r="F379" s="57" t="s">
        <v>618</v>
      </c>
      <c r="G379" s="60" t="s">
        <v>1276</v>
      </c>
      <c r="H379" s="60"/>
      <c r="I379" s="60"/>
      <c r="J379" s="58" t="s">
        <v>740</v>
      </c>
      <c r="K379" s="58" t="s">
        <v>54</v>
      </c>
      <c r="L379" s="58" t="s">
        <v>741</v>
      </c>
      <c r="M379" s="60"/>
      <c r="N379" s="65">
        <v>46237</v>
      </c>
      <c r="O379" s="60" t="s">
        <v>153</v>
      </c>
      <c r="P379" s="60"/>
      <c r="Q379" s="60" t="s">
        <v>82</v>
      </c>
      <c r="R379" s="60"/>
      <c r="S379" s="60" t="s">
        <v>1240</v>
      </c>
      <c r="T379" s="60"/>
      <c r="U379" s="61" t="s">
        <v>61</v>
      </c>
    </row>
    <row r="380" spans="1:21" ht="54">
      <c r="A380" s="60" t="s">
        <v>1277</v>
      </c>
      <c r="B380" s="60" t="s">
        <v>1278</v>
      </c>
      <c r="C380" s="61" t="s">
        <v>49</v>
      </c>
      <c r="D380" s="61" t="s">
        <v>1242</v>
      </c>
      <c r="E380" s="62" t="s">
        <v>19</v>
      </c>
      <c r="F380" s="57" t="s">
        <v>618</v>
      </c>
      <c r="G380" s="60" t="s">
        <v>1279</v>
      </c>
      <c r="H380" s="60"/>
      <c r="I380" s="60"/>
      <c r="J380" s="58" t="s">
        <v>740</v>
      </c>
      <c r="K380" s="58" t="s">
        <v>54</v>
      </c>
      <c r="L380" s="58" t="s">
        <v>741</v>
      </c>
      <c r="M380" s="60"/>
      <c r="N380" s="65">
        <v>46237</v>
      </c>
      <c r="O380" s="60" t="s">
        <v>153</v>
      </c>
      <c r="P380" s="60"/>
      <c r="Q380" s="60" t="s">
        <v>82</v>
      </c>
      <c r="R380" s="60"/>
      <c r="S380" s="60" t="s">
        <v>1240</v>
      </c>
      <c r="T380" s="60"/>
      <c r="U380" s="61" t="s">
        <v>61</v>
      </c>
    </row>
    <row r="381" spans="1:21" ht="54">
      <c r="A381" s="60" t="s">
        <v>1280</v>
      </c>
      <c r="B381" s="60" t="s">
        <v>1281</v>
      </c>
      <c r="C381" s="61" t="s">
        <v>49</v>
      </c>
      <c r="D381" s="61" t="s">
        <v>1242</v>
      </c>
      <c r="E381" s="62" t="s">
        <v>19</v>
      </c>
      <c r="F381" s="57" t="s">
        <v>618</v>
      </c>
      <c r="G381" s="60" t="s">
        <v>1282</v>
      </c>
      <c r="H381" s="60"/>
      <c r="I381" s="60"/>
      <c r="J381" s="58" t="s">
        <v>740</v>
      </c>
      <c r="K381" s="58" t="s">
        <v>54</v>
      </c>
      <c r="L381" s="58" t="s">
        <v>741</v>
      </c>
      <c r="M381" s="60"/>
      <c r="N381" s="65">
        <v>46237</v>
      </c>
      <c r="O381" s="60" t="s">
        <v>153</v>
      </c>
      <c r="P381" s="60"/>
      <c r="Q381" s="60" t="s">
        <v>82</v>
      </c>
      <c r="R381" s="60"/>
      <c r="S381" s="60" t="s">
        <v>1240</v>
      </c>
      <c r="T381" s="60"/>
      <c r="U381" s="61" t="s">
        <v>61</v>
      </c>
    </row>
    <row r="382" spans="1:21" ht="67.5">
      <c r="A382" s="60" t="s">
        <v>1283</v>
      </c>
      <c r="B382" s="60" t="s">
        <v>1284</v>
      </c>
      <c r="C382" s="61" t="s">
        <v>49</v>
      </c>
      <c r="D382" s="61" t="s">
        <v>1242</v>
      </c>
      <c r="E382" s="62" t="s">
        <v>19</v>
      </c>
      <c r="F382" s="57" t="s">
        <v>618</v>
      </c>
      <c r="G382" s="60" t="s">
        <v>1285</v>
      </c>
      <c r="H382" s="60"/>
      <c r="I382" s="60"/>
      <c r="J382" s="58" t="s">
        <v>740</v>
      </c>
      <c r="K382" s="58" t="s">
        <v>54</v>
      </c>
      <c r="L382" s="58" t="s">
        <v>741</v>
      </c>
      <c r="M382" s="60"/>
      <c r="N382" s="65">
        <v>46237</v>
      </c>
      <c r="O382" s="60" t="s">
        <v>153</v>
      </c>
      <c r="P382" s="60"/>
      <c r="Q382" s="60" t="s">
        <v>82</v>
      </c>
      <c r="R382" s="60"/>
      <c r="S382" s="60" t="s">
        <v>1240</v>
      </c>
      <c r="T382" s="60"/>
      <c r="U382" s="61" t="s">
        <v>61</v>
      </c>
    </row>
    <row r="383" spans="1:21" ht="67.5">
      <c r="A383" s="60" t="s">
        <v>1286</v>
      </c>
      <c r="B383" s="60" t="s">
        <v>1287</v>
      </c>
      <c r="C383" s="61" t="s">
        <v>49</v>
      </c>
      <c r="D383" s="61" t="s">
        <v>1242</v>
      </c>
      <c r="E383" s="62" t="s">
        <v>19</v>
      </c>
      <c r="F383" s="57" t="s">
        <v>618</v>
      </c>
      <c r="G383" s="60" t="s">
        <v>1288</v>
      </c>
      <c r="H383" s="60"/>
      <c r="I383" s="60"/>
      <c r="J383" s="58" t="s">
        <v>740</v>
      </c>
      <c r="K383" s="58" t="s">
        <v>54</v>
      </c>
      <c r="L383" s="58" t="s">
        <v>741</v>
      </c>
      <c r="M383" s="60"/>
      <c r="N383" s="65">
        <v>46237</v>
      </c>
      <c r="O383" s="60" t="s">
        <v>153</v>
      </c>
      <c r="P383" s="60"/>
      <c r="Q383" s="60" t="s">
        <v>82</v>
      </c>
      <c r="R383" s="60"/>
      <c r="S383" s="60" t="s">
        <v>1240</v>
      </c>
      <c r="T383" s="60"/>
      <c r="U383" s="61" t="s">
        <v>61</v>
      </c>
    </row>
    <row r="384" spans="1:21" ht="54">
      <c r="A384" s="60" t="s">
        <v>1289</v>
      </c>
      <c r="B384" s="60" t="s">
        <v>1290</v>
      </c>
      <c r="C384" s="61" t="s">
        <v>49</v>
      </c>
      <c r="D384" s="61" t="s">
        <v>1242</v>
      </c>
      <c r="E384" s="62" t="s">
        <v>21</v>
      </c>
      <c r="F384" s="57" t="s">
        <v>618</v>
      </c>
      <c r="G384" s="60" t="s">
        <v>1291</v>
      </c>
      <c r="H384" s="60"/>
      <c r="I384" s="60"/>
      <c r="J384" s="58" t="s">
        <v>740</v>
      </c>
      <c r="K384" s="58" t="s">
        <v>54</v>
      </c>
      <c r="L384" s="58" t="s">
        <v>741</v>
      </c>
      <c r="M384" s="60"/>
      <c r="N384" s="65">
        <v>46237</v>
      </c>
      <c r="O384" s="60" t="s">
        <v>153</v>
      </c>
      <c r="P384" s="60"/>
      <c r="Q384" s="60" t="s">
        <v>89</v>
      </c>
      <c r="R384" s="60"/>
      <c r="S384" s="60" t="s">
        <v>1280</v>
      </c>
      <c r="T384" s="60"/>
      <c r="U384" s="61" t="s">
        <v>61</v>
      </c>
    </row>
    <row r="385" spans="1:21" ht="67.5">
      <c r="A385" s="60" t="s">
        <v>1292</v>
      </c>
      <c r="B385" s="60" t="s">
        <v>1293</v>
      </c>
      <c r="C385" s="61" t="s">
        <v>49</v>
      </c>
      <c r="D385" s="61" t="s">
        <v>1242</v>
      </c>
      <c r="E385" s="62" t="s">
        <v>19</v>
      </c>
      <c r="F385" s="57" t="s">
        <v>618</v>
      </c>
      <c r="G385" s="60" t="s">
        <v>1294</v>
      </c>
      <c r="H385" s="60"/>
      <c r="I385" s="60"/>
      <c r="J385" s="58" t="s">
        <v>740</v>
      </c>
      <c r="K385" s="58" t="s">
        <v>54</v>
      </c>
      <c r="L385" s="58" t="s">
        <v>741</v>
      </c>
      <c r="M385" s="60"/>
      <c r="N385" s="65">
        <v>46238</v>
      </c>
      <c r="O385" s="60" t="s">
        <v>153</v>
      </c>
      <c r="P385" s="60"/>
      <c r="Q385" s="60" t="s">
        <v>82</v>
      </c>
      <c r="R385" s="60"/>
      <c r="S385" s="60" t="s">
        <v>1240</v>
      </c>
      <c r="T385" s="60"/>
      <c r="U385" s="61" t="s">
        <v>61</v>
      </c>
    </row>
    <row r="386" spans="1:21" ht="67.5">
      <c r="A386" s="60" t="s">
        <v>1295</v>
      </c>
      <c r="B386" s="60" t="s">
        <v>1296</v>
      </c>
      <c r="C386" s="61" t="s">
        <v>49</v>
      </c>
      <c r="D386" s="61" t="s">
        <v>1242</v>
      </c>
      <c r="E386" s="62" t="s">
        <v>19</v>
      </c>
      <c r="F386" s="57" t="s">
        <v>618</v>
      </c>
      <c r="G386" s="60" t="s">
        <v>1297</v>
      </c>
      <c r="H386" s="60"/>
      <c r="I386" s="60"/>
      <c r="J386" s="58" t="s">
        <v>740</v>
      </c>
      <c r="K386" s="58" t="s">
        <v>54</v>
      </c>
      <c r="L386" s="58" t="s">
        <v>741</v>
      </c>
      <c r="M386" s="60"/>
      <c r="N386" s="65">
        <v>46238</v>
      </c>
      <c r="O386" s="60" t="s">
        <v>153</v>
      </c>
      <c r="P386" s="60"/>
      <c r="Q386" s="60" t="s">
        <v>82</v>
      </c>
      <c r="R386" s="60"/>
      <c r="S386" s="60" t="s">
        <v>1289</v>
      </c>
      <c r="T386" s="60"/>
      <c r="U386" s="61" t="s">
        <v>61</v>
      </c>
    </row>
    <row r="387" spans="1:21" ht="81">
      <c r="A387" s="60" t="s">
        <v>1298</v>
      </c>
      <c r="B387" s="60" t="s">
        <v>1299</v>
      </c>
      <c r="C387" s="61" t="s">
        <v>49</v>
      </c>
      <c r="D387" s="61" t="s">
        <v>1242</v>
      </c>
      <c r="E387" s="62" t="s">
        <v>19</v>
      </c>
      <c r="F387" s="57" t="s">
        <v>618</v>
      </c>
      <c r="G387" s="60" t="s">
        <v>1300</v>
      </c>
      <c r="H387" s="60"/>
      <c r="I387" s="60"/>
      <c r="J387" s="58" t="s">
        <v>740</v>
      </c>
      <c r="K387" s="58" t="s">
        <v>54</v>
      </c>
      <c r="L387" s="58" t="s">
        <v>741</v>
      </c>
      <c r="M387" s="60"/>
      <c r="N387" s="65">
        <v>46238</v>
      </c>
      <c r="O387" s="60" t="s">
        <v>153</v>
      </c>
      <c r="P387" s="60"/>
      <c r="Q387" s="60" t="s">
        <v>82</v>
      </c>
      <c r="R387" s="60"/>
      <c r="S387" s="60" t="s">
        <v>1289</v>
      </c>
      <c r="T387" s="60"/>
      <c r="U387" s="61" t="s">
        <v>61</v>
      </c>
    </row>
    <row r="388" spans="1:21" ht="40.5">
      <c r="A388" s="60" t="s">
        <v>1301</v>
      </c>
      <c r="B388" s="60" t="s">
        <v>1302</v>
      </c>
      <c r="C388" s="61" t="s">
        <v>49</v>
      </c>
      <c r="D388" s="61" t="s">
        <v>1242</v>
      </c>
      <c r="E388" s="62" t="s">
        <v>21</v>
      </c>
      <c r="F388" s="57" t="s">
        <v>618</v>
      </c>
      <c r="G388" s="60" t="s">
        <v>1303</v>
      </c>
      <c r="H388" s="60"/>
      <c r="I388" s="60"/>
      <c r="J388" s="58" t="s">
        <v>740</v>
      </c>
      <c r="K388" s="58" t="s">
        <v>54</v>
      </c>
      <c r="L388" s="58" t="s">
        <v>741</v>
      </c>
      <c r="M388" s="60"/>
      <c r="N388" s="65">
        <v>46238</v>
      </c>
      <c r="O388" s="60" t="s">
        <v>153</v>
      </c>
      <c r="P388" s="60"/>
      <c r="Q388" s="60" t="s">
        <v>89</v>
      </c>
      <c r="R388" s="60"/>
      <c r="S388" s="60" t="s">
        <v>1240</v>
      </c>
      <c r="T388" s="60"/>
      <c r="U388" s="61" t="s">
        <v>61</v>
      </c>
    </row>
    <row r="389" spans="1:21" ht="54">
      <c r="A389" s="60" t="s">
        <v>1304</v>
      </c>
      <c r="B389" s="60" t="s">
        <v>1305</v>
      </c>
      <c r="C389" s="61" t="s">
        <v>49</v>
      </c>
      <c r="D389" s="61" t="s">
        <v>1242</v>
      </c>
      <c r="E389" s="62" t="s">
        <v>21</v>
      </c>
      <c r="F389" s="57" t="s">
        <v>618</v>
      </c>
      <c r="G389" s="60" t="s">
        <v>1306</v>
      </c>
      <c r="H389" s="60"/>
      <c r="I389" s="60"/>
      <c r="J389" s="58" t="s">
        <v>740</v>
      </c>
      <c r="K389" s="58" t="s">
        <v>54</v>
      </c>
      <c r="L389" s="58" t="s">
        <v>741</v>
      </c>
      <c r="M389" s="60"/>
      <c r="N389" s="65">
        <v>46238</v>
      </c>
      <c r="O389" s="60" t="s">
        <v>153</v>
      </c>
      <c r="P389" s="60"/>
      <c r="Q389" s="60" t="s">
        <v>89</v>
      </c>
      <c r="R389" s="60"/>
      <c r="S389" s="60" t="s">
        <v>1249</v>
      </c>
      <c r="T389" s="60"/>
      <c r="U389" s="61" t="s">
        <v>61</v>
      </c>
    </row>
    <row r="390" spans="1:21" ht="54">
      <c r="A390" s="60" t="s">
        <v>1307</v>
      </c>
      <c r="B390" s="60" t="s">
        <v>1308</v>
      </c>
      <c r="C390" s="61" t="s">
        <v>49</v>
      </c>
      <c r="D390" s="61" t="s">
        <v>1242</v>
      </c>
      <c r="E390" s="62" t="s">
        <v>21</v>
      </c>
      <c r="F390" s="57" t="s">
        <v>618</v>
      </c>
      <c r="G390" s="60" t="s">
        <v>1309</v>
      </c>
      <c r="H390" s="60"/>
      <c r="I390" s="60"/>
      <c r="J390" s="58" t="s">
        <v>740</v>
      </c>
      <c r="K390" s="58" t="s">
        <v>54</v>
      </c>
      <c r="L390" s="58" t="s">
        <v>741</v>
      </c>
      <c r="M390" s="60"/>
      <c r="N390" s="65">
        <v>46238</v>
      </c>
      <c r="O390" s="60" t="s">
        <v>153</v>
      </c>
      <c r="P390" s="60"/>
      <c r="Q390" s="60" t="s">
        <v>89</v>
      </c>
      <c r="R390" s="60"/>
      <c r="S390" s="60" t="s">
        <v>1249</v>
      </c>
      <c r="T390" s="60"/>
      <c r="U390" s="61" t="s">
        <v>61</v>
      </c>
    </row>
    <row r="391" spans="1:21" ht="40.5">
      <c r="A391" s="60" t="s">
        <v>1310</v>
      </c>
      <c r="B391" s="60" t="s">
        <v>1311</v>
      </c>
      <c r="C391" s="61" t="s">
        <v>49</v>
      </c>
      <c r="D391" s="61" t="s">
        <v>1242</v>
      </c>
      <c r="E391" s="62" t="s">
        <v>21</v>
      </c>
      <c r="F391" s="57" t="s">
        <v>618</v>
      </c>
      <c r="G391" s="60" t="s">
        <v>1312</v>
      </c>
      <c r="H391" s="60"/>
      <c r="I391" s="60"/>
      <c r="J391" s="58" t="s">
        <v>740</v>
      </c>
      <c r="K391" s="58" t="s">
        <v>54</v>
      </c>
      <c r="L391" s="58" t="s">
        <v>741</v>
      </c>
      <c r="M391" s="60"/>
      <c r="N391" s="65">
        <v>46238</v>
      </c>
      <c r="O391" s="60" t="s">
        <v>153</v>
      </c>
      <c r="P391" s="60"/>
      <c r="Q391" s="60" t="s">
        <v>89</v>
      </c>
      <c r="R391" s="60"/>
      <c r="S391" s="60" t="s">
        <v>1249</v>
      </c>
      <c r="T391" s="60"/>
      <c r="U391" s="61" t="s">
        <v>61</v>
      </c>
    </row>
    <row r="392" spans="1:21" ht="40.5">
      <c r="A392" s="60" t="s">
        <v>1313</v>
      </c>
      <c r="B392" s="60" t="s">
        <v>1314</v>
      </c>
      <c r="C392" s="61" t="s">
        <v>49</v>
      </c>
      <c r="D392" s="61" t="s">
        <v>1242</v>
      </c>
      <c r="E392" s="62" t="s">
        <v>21</v>
      </c>
      <c r="F392" s="57" t="s">
        <v>618</v>
      </c>
      <c r="G392" s="60" t="s">
        <v>1315</v>
      </c>
      <c r="H392" s="60"/>
      <c r="I392" s="60"/>
      <c r="J392" s="58" t="s">
        <v>740</v>
      </c>
      <c r="K392" s="58" t="s">
        <v>54</v>
      </c>
      <c r="L392" s="58" t="s">
        <v>741</v>
      </c>
      <c r="M392" s="60"/>
      <c r="N392" s="65">
        <v>46238</v>
      </c>
      <c r="O392" s="60" t="s">
        <v>153</v>
      </c>
      <c r="P392" s="60"/>
      <c r="Q392" s="60" t="s">
        <v>89</v>
      </c>
      <c r="R392" s="60"/>
      <c r="S392" s="60" t="s">
        <v>1240</v>
      </c>
      <c r="T392" s="60"/>
      <c r="U392" s="61" t="s">
        <v>61</v>
      </c>
    </row>
    <row r="393" spans="1:21" ht="40.5">
      <c r="A393" s="60" t="s">
        <v>1316</v>
      </c>
      <c r="B393" s="60" t="s">
        <v>1317</v>
      </c>
      <c r="C393" s="61" t="s">
        <v>49</v>
      </c>
      <c r="D393" s="61" t="s">
        <v>1242</v>
      </c>
      <c r="E393" s="62" t="s">
        <v>26</v>
      </c>
      <c r="F393" s="57" t="s">
        <v>618</v>
      </c>
      <c r="G393" s="60" t="s">
        <v>1318</v>
      </c>
      <c r="H393" s="60"/>
      <c r="I393" s="60"/>
      <c r="J393" s="58" t="s">
        <v>740</v>
      </c>
      <c r="K393" s="58" t="s">
        <v>54</v>
      </c>
      <c r="L393" s="58" t="s">
        <v>741</v>
      </c>
      <c r="M393" s="60"/>
      <c r="N393" s="65">
        <v>46238</v>
      </c>
      <c r="O393" s="60" t="s">
        <v>153</v>
      </c>
      <c r="P393" s="60"/>
      <c r="Q393" s="60" t="s">
        <v>59</v>
      </c>
      <c r="R393" s="60"/>
      <c r="S393" s="60" t="s">
        <v>1240</v>
      </c>
      <c r="T393" s="60"/>
      <c r="U393" s="61" t="s">
        <v>61</v>
      </c>
    </row>
    <row r="394" spans="1:21" ht="54">
      <c r="A394" s="60" t="s">
        <v>1319</v>
      </c>
      <c r="B394" s="60" t="s">
        <v>1320</v>
      </c>
      <c r="C394" s="61" t="s">
        <v>49</v>
      </c>
      <c r="D394" s="61" t="s">
        <v>1242</v>
      </c>
      <c r="E394" s="62" t="s">
        <v>19</v>
      </c>
      <c r="F394" s="57" t="s">
        <v>618</v>
      </c>
      <c r="G394" s="60" t="s">
        <v>1321</v>
      </c>
      <c r="H394" s="60"/>
      <c r="I394" s="60"/>
      <c r="J394" s="58" t="s">
        <v>740</v>
      </c>
      <c r="K394" s="58" t="s">
        <v>54</v>
      </c>
      <c r="L394" s="58" t="s">
        <v>741</v>
      </c>
      <c r="M394" s="60"/>
      <c r="N394" s="65">
        <v>46238</v>
      </c>
      <c r="O394" s="60" t="s">
        <v>153</v>
      </c>
      <c r="P394" s="60"/>
      <c r="Q394" s="60" t="s">
        <v>82</v>
      </c>
      <c r="R394" s="60"/>
      <c r="S394" s="60" t="s">
        <v>1240</v>
      </c>
      <c r="T394" s="60"/>
      <c r="U394" s="61" t="s">
        <v>61</v>
      </c>
    </row>
    <row r="395" spans="1:21" ht="40.5">
      <c r="A395" s="60" t="s">
        <v>1322</v>
      </c>
      <c r="B395" s="60" t="s">
        <v>1323</v>
      </c>
      <c r="C395" s="61" t="s">
        <v>49</v>
      </c>
      <c r="D395" s="61" t="s">
        <v>1242</v>
      </c>
      <c r="E395" s="62" t="s">
        <v>21</v>
      </c>
      <c r="F395" s="57" t="s">
        <v>618</v>
      </c>
      <c r="G395" s="60" t="s">
        <v>1324</v>
      </c>
      <c r="H395" s="60"/>
      <c r="I395" s="60"/>
      <c r="J395" s="58" t="s">
        <v>740</v>
      </c>
      <c r="K395" s="58" t="s">
        <v>54</v>
      </c>
      <c r="L395" s="58" t="s">
        <v>741</v>
      </c>
      <c r="M395" s="60"/>
      <c r="N395" s="65">
        <v>46238</v>
      </c>
      <c r="O395" s="60" t="s">
        <v>153</v>
      </c>
      <c r="P395" s="60"/>
      <c r="Q395" s="60" t="s">
        <v>89</v>
      </c>
      <c r="R395" s="60"/>
      <c r="S395" s="60" t="s">
        <v>1249</v>
      </c>
      <c r="T395" s="60"/>
      <c r="U395" s="61" t="s">
        <v>61</v>
      </c>
    </row>
    <row r="396" spans="1:21" ht="54">
      <c r="A396" s="60" t="s">
        <v>1325</v>
      </c>
      <c r="B396" s="60" t="s">
        <v>1326</v>
      </c>
      <c r="C396" s="61" t="s">
        <v>49</v>
      </c>
      <c r="D396" s="61" t="s">
        <v>1242</v>
      </c>
      <c r="E396" s="62" t="s">
        <v>19</v>
      </c>
      <c r="F396" s="57" t="s">
        <v>618</v>
      </c>
      <c r="G396" s="60" t="s">
        <v>1327</v>
      </c>
      <c r="H396" s="60"/>
      <c r="I396" s="60"/>
      <c r="J396" s="58" t="s">
        <v>740</v>
      </c>
      <c r="K396" s="58" t="s">
        <v>54</v>
      </c>
      <c r="L396" s="58" t="s">
        <v>741</v>
      </c>
      <c r="M396" s="60"/>
      <c r="N396" s="65">
        <v>46238</v>
      </c>
      <c r="O396" s="60" t="s">
        <v>153</v>
      </c>
      <c r="P396" s="60"/>
      <c r="Q396" s="60" t="s">
        <v>82</v>
      </c>
      <c r="R396" s="60"/>
      <c r="S396" s="60" t="s">
        <v>1249</v>
      </c>
      <c r="T396" s="60"/>
      <c r="U396" s="61" t="s">
        <v>61</v>
      </c>
    </row>
    <row r="397" spans="1:21" ht="40.5">
      <c r="A397" s="60" t="s">
        <v>1328</v>
      </c>
      <c r="B397" s="60" t="s">
        <v>1329</v>
      </c>
      <c r="C397" s="61" t="s">
        <v>49</v>
      </c>
      <c r="D397" s="61" t="s">
        <v>1242</v>
      </c>
      <c r="E397" s="62" t="s">
        <v>19</v>
      </c>
      <c r="F397" s="57" t="s">
        <v>618</v>
      </c>
      <c r="G397" s="60" t="s">
        <v>1330</v>
      </c>
      <c r="H397" s="60"/>
      <c r="I397" s="60"/>
      <c r="J397" s="58" t="s">
        <v>740</v>
      </c>
      <c r="K397" s="58" t="s">
        <v>54</v>
      </c>
      <c r="L397" s="58" t="s">
        <v>741</v>
      </c>
      <c r="M397" s="60"/>
      <c r="N397" s="65">
        <v>46238</v>
      </c>
      <c r="O397" s="60" t="s">
        <v>153</v>
      </c>
      <c r="P397" s="60"/>
      <c r="Q397" s="60" t="s">
        <v>82</v>
      </c>
      <c r="R397" s="60"/>
      <c r="S397" s="60" t="s">
        <v>1244</v>
      </c>
      <c r="T397" s="60"/>
      <c r="U397" s="61" t="s">
        <v>61</v>
      </c>
    </row>
    <row r="398" spans="1:21" ht="54">
      <c r="A398" s="60" t="s">
        <v>1331</v>
      </c>
      <c r="B398" s="60" t="s">
        <v>1332</v>
      </c>
      <c r="C398" s="61" t="s">
        <v>49</v>
      </c>
      <c r="D398" s="61" t="s">
        <v>1242</v>
      </c>
      <c r="E398" s="62" t="s">
        <v>21</v>
      </c>
      <c r="F398" s="57" t="s">
        <v>618</v>
      </c>
      <c r="G398" s="60" t="s">
        <v>1333</v>
      </c>
      <c r="H398" s="60"/>
      <c r="I398" s="60"/>
      <c r="J398" s="58" t="s">
        <v>740</v>
      </c>
      <c r="K398" s="58" t="s">
        <v>54</v>
      </c>
      <c r="L398" s="58" t="s">
        <v>741</v>
      </c>
      <c r="M398" s="60"/>
      <c r="N398" s="65">
        <v>46238</v>
      </c>
      <c r="O398" s="60" t="s">
        <v>153</v>
      </c>
      <c r="P398" s="60"/>
      <c r="Q398" s="60" t="s">
        <v>89</v>
      </c>
      <c r="R398" s="60"/>
      <c r="S398" s="60" t="s">
        <v>1322</v>
      </c>
      <c r="T398" s="60"/>
      <c r="U398" s="61" t="s">
        <v>61</v>
      </c>
    </row>
    <row r="399" spans="1:21" ht="40.5">
      <c r="A399" s="60" t="s">
        <v>1334</v>
      </c>
      <c r="B399" s="60" t="s">
        <v>1335</v>
      </c>
      <c r="C399" s="61" t="s">
        <v>49</v>
      </c>
      <c r="D399" s="61" t="s">
        <v>1242</v>
      </c>
      <c r="E399" s="62" t="s">
        <v>19</v>
      </c>
      <c r="F399" s="57" t="s">
        <v>618</v>
      </c>
      <c r="G399" s="60" t="s">
        <v>1336</v>
      </c>
      <c r="H399" s="60"/>
      <c r="I399" s="60"/>
      <c r="J399" s="58" t="s">
        <v>740</v>
      </c>
      <c r="K399" s="58" t="s">
        <v>54</v>
      </c>
      <c r="L399" s="58" t="s">
        <v>741</v>
      </c>
      <c r="M399" s="60"/>
      <c r="N399" s="65">
        <v>46238</v>
      </c>
      <c r="O399" s="60" t="s">
        <v>153</v>
      </c>
      <c r="P399" s="60"/>
      <c r="Q399" s="60" t="s">
        <v>82</v>
      </c>
      <c r="R399" s="60"/>
      <c r="S399" s="60" t="s">
        <v>1322</v>
      </c>
      <c r="T399" s="60"/>
      <c r="U399" s="61" t="s">
        <v>61</v>
      </c>
    </row>
    <row r="400" spans="1:21" ht="54">
      <c r="A400" s="60" t="s">
        <v>1337</v>
      </c>
      <c r="B400" s="60" t="s">
        <v>1338</v>
      </c>
      <c r="C400" s="61" t="s">
        <v>49</v>
      </c>
      <c r="D400" s="61" t="s">
        <v>1242</v>
      </c>
      <c r="E400" s="62" t="s">
        <v>19</v>
      </c>
      <c r="F400" s="57" t="s">
        <v>618</v>
      </c>
      <c r="G400" s="60" t="s">
        <v>1339</v>
      </c>
      <c r="H400" s="60"/>
      <c r="I400" s="60"/>
      <c r="J400" s="58" t="s">
        <v>740</v>
      </c>
      <c r="K400" s="58" t="s">
        <v>54</v>
      </c>
      <c r="L400" s="58" t="s">
        <v>741</v>
      </c>
      <c r="M400" s="60"/>
      <c r="N400" s="65">
        <v>46239</v>
      </c>
      <c r="O400" s="60" t="s">
        <v>153</v>
      </c>
      <c r="P400" s="60"/>
      <c r="Q400" s="60" t="s">
        <v>82</v>
      </c>
      <c r="R400" s="60"/>
      <c r="S400" s="60" t="s">
        <v>1322</v>
      </c>
      <c r="T400" s="60"/>
      <c r="U400" s="61" t="s">
        <v>61</v>
      </c>
    </row>
    <row r="401" spans="1:21" ht="54">
      <c r="A401" s="60" t="s">
        <v>1340</v>
      </c>
      <c r="B401" s="60" t="s">
        <v>1341</v>
      </c>
      <c r="C401" s="61" t="s">
        <v>49</v>
      </c>
      <c r="D401" s="61" t="s">
        <v>1242</v>
      </c>
      <c r="E401" s="62" t="s">
        <v>19</v>
      </c>
      <c r="F401" s="57" t="s">
        <v>618</v>
      </c>
      <c r="G401" s="60" t="s">
        <v>1342</v>
      </c>
      <c r="H401" s="60"/>
      <c r="I401" s="60"/>
      <c r="J401" s="58" t="s">
        <v>740</v>
      </c>
      <c r="K401" s="58" t="s">
        <v>54</v>
      </c>
      <c r="L401" s="58" t="s">
        <v>741</v>
      </c>
      <c r="M401" s="60"/>
      <c r="N401" s="65">
        <v>46239</v>
      </c>
      <c r="O401" s="60" t="s">
        <v>153</v>
      </c>
      <c r="P401" s="60"/>
      <c r="Q401" s="60" t="s">
        <v>82</v>
      </c>
      <c r="R401" s="60"/>
      <c r="S401" s="60" t="s">
        <v>1331</v>
      </c>
      <c r="T401" s="60"/>
      <c r="U401" s="61" t="s">
        <v>61</v>
      </c>
    </row>
    <row r="402" spans="1:21" ht="54">
      <c r="A402" s="60" t="s">
        <v>1343</v>
      </c>
      <c r="B402" s="60" t="s">
        <v>1344</v>
      </c>
      <c r="C402" s="61" t="s">
        <v>49</v>
      </c>
      <c r="D402" s="61" t="s">
        <v>1242</v>
      </c>
      <c r="E402" s="62" t="s">
        <v>19</v>
      </c>
      <c r="F402" s="57" t="s">
        <v>618</v>
      </c>
      <c r="G402" s="60" t="s">
        <v>1345</v>
      </c>
      <c r="H402" s="60"/>
      <c r="I402" s="60"/>
      <c r="J402" s="58" t="s">
        <v>740</v>
      </c>
      <c r="K402" s="58" t="s">
        <v>54</v>
      </c>
      <c r="L402" s="58" t="s">
        <v>741</v>
      </c>
      <c r="M402" s="60"/>
      <c r="N402" s="65">
        <v>46239</v>
      </c>
      <c r="O402" s="60" t="s">
        <v>153</v>
      </c>
      <c r="P402" s="60"/>
      <c r="Q402" s="60" t="s">
        <v>82</v>
      </c>
      <c r="R402" s="60"/>
      <c r="S402" s="60" t="s">
        <v>1304</v>
      </c>
      <c r="T402" s="60"/>
      <c r="U402" s="61" t="s">
        <v>61</v>
      </c>
    </row>
    <row r="403" spans="1:21" ht="40.5">
      <c r="A403" s="60" t="s">
        <v>1346</v>
      </c>
      <c r="B403" s="60" t="s">
        <v>1347</v>
      </c>
      <c r="C403" s="61" t="s">
        <v>49</v>
      </c>
      <c r="D403" s="61" t="s">
        <v>1242</v>
      </c>
      <c r="E403" s="62" t="s">
        <v>19</v>
      </c>
      <c r="F403" s="57" t="s">
        <v>618</v>
      </c>
      <c r="G403" s="60" t="s">
        <v>1348</v>
      </c>
      <c r="H403" s="60"/>
      <c r="I403" s="60"/>
      <c r="J403" s="58" t="s">
        <v>740</v>
      </c>
      <c r="K403" s="58" t="s">
        <v>54</v>
      </c>
      <c r="L403" s="58" t="s">
        <v>741</v>
      </c>
      <c r="M403" s="60"/>
      <c r="N403" s="65">
        <v>46239</v>
      </c>
      <c r="O403" s="60" t="s">
        <v>153</v>
      </c>
      <c r="P403" s="60"/>
      <c r="Q403" s="60" t="s">
        <v>82</v>
      </c>
      <c r="R403" s="60"/>
      <c r="S403" s="60" t="s">
        <v>1340</v>
      </c>
      <c r="T403" s="60"/>
      <c r="U403" s="61" t="s">
        <v>61</v>
      </c>
    </row>
    <row r="404" spans="1:21" ht="54">
      <c r="A404" s="60" t="s">
        <v>1349</v>
      </c>
      <c r="B404" s="60" t="s">
        <v>1350</v>
      </c>
      <c r="C404" s="61" t="s">
        <v>49</v>
      </c>
      <c r="D404" s="61" t="s">
        <v>1242</v>
      </c>
      <c r="E404" s="62" t="s">
        <v>19</v>
      </c>
      <c r="F404" s="57" t="s">
        <v>618</v>
      </c>
      <c r="G404" s="60" t="s">
        <v>1351</v>
      </c>
      <c r="H404" s="60"/>
      <c r="I404" s="60"/>
      <c r="J404" s="58" t="s">
        <v>740</v>
      </c>
      <c r="K404" s="58" t="s">
        <v>54</v>
      </c>
      <c r="L404" s="58" t="s">
        <v>741</v>
      </c>
      <c r="M404" s="60"/>
      <c r="N404" s="65">
        <v>46239</v>
      </c>
      <c r="O404" s="60" t="s">
        <v>153</v>
      </c>
      <c r="P404" s="60"/>
      <c r="Q404" s="60" t="s">
        <v>82</v>
      </c>
      <c r="R404" s="60"/>
      <c r="S404" s="60" t="s">
        <v>1340</v>
      </c>
      <c r="T404" s="60"/>
      <c r="U404" s="61" t="s">
        <v>61</v>
      </c>
    </row>
    <row r="405" spans="1:21" ht="54">
      <c r="A405" s="60" t="s">
        <v>1352</v>
      </c>
      <c r="B405" s="60" t="s">
        <v>1353</v>
      </c>
      <c r="C405" s="61" t="s">
        <v>49</v>
      </c>
      <c r="D405" s="61" t="s">
        <v>1242</v>
      </c>
      <c r="E405" s="62" t="s">
        <v>19</v>
      </c>
      <c r="F405" s="57" t="s">
        <v>618</v>
      </c>
      <c r="G405" s="60" t="s">
        <v>1354</v>
      </c>
      <c r="H405" s="60"/>
      <c r="I405" s="60"/>
      <c r="J405" s="58" t="s">
        <v>740</v>
      </c>
      <c r="K405" s="58" t="s">
        <v>54</v>
      </c>
      <c r="L405" s="58" t="s">
        <v>741</v>
      </c>
      <c r="M405" s="60"/>
      <c r="N405" s="65">
        <v>46239</v>
      </c>
      <c r="O405" s="60" t="s">
        <v>153</v>
      </c>
      <c r="P405" s="60"/>
      <c r="Q405" s="60" t="s">
        <v>82</v>
      </c>
      <c r="R405" s="60"/>
      <c r="S405" s="60" t="s">
        <v>1322</v>
      </c>
      <c r="T405" s="60"/>
      <c r="U405" s="61" t="s">
        <v>61</v>
      </c>
    </row>
    <row r="406" spans="1:21" ht="67.5">
      <c r="A406" s="60" t="s">
        <v>1355</v>
      </c>
      <c r="B406" s="60" t="s">
        <v>1356</v>
      </c>
      <c r="C406" s="61" t="s">
        <v>49</v>
      </c>
      <c r="D406" s="61" t="s">
        <v>1242</v>
      </c>
      <c r="E406" s="62" t="s">
        <v>21</v>
      </c>
      <c r="F406" s="57" t="s">
        <v>618</v>
      </c>
      <c r="G406" s="60" t="s">
        <v>1357</v>
      </c>
      <c r="H406" s="60"/>
      <c r="I406" s="60"/>
      <c r="J406" s="58" t="s">
        <v>740</v>
      </c>
      <c r="K406" s="58" t="s">
        <v>54</v>
      </c>
      <c r="L406" s="58" t="s">
        <v>741</v>
      </c>
      <c r="M406" s="60"/>
      <c r="N406" s="65">
        <v>46239</v>
      </c>
      <c r="O406" s="60" t="s">
        <v>153</v>
      </c>
      <c r="P406" s="60"/>
      <c r="Q406" s="60" t="s">
        <v>89</v>
      </c>
      <c r="R406" s="60"/>
      <c r="S406" s="60" t="s">
        <v>1331</v>
      </c>
      <c r="T406" s="60"/>
      <c r="U406" s="61" t="s">
        <v>61</v>
      </c>
    </row>
    <row r="407" spans="1:21" ht="81">
      <c r="A407" s="60" t="s">
        <v>1358</v>
      </c>
      <c r="B407" s="60" t="s">
        <v>1359</v>
      </c>
      <c r="C407" s="61" t="s">
        <v>49</v>
      </c>
      <c r="D407" s="61" t="s">
        <v>1242</v>
      </c>
      <c r="E407" s="62" t="s">
        <v>19</v>
      </c>
      <c r="F407" s="57" t="s">
        <v>618</v>
      </c>
      <c r="G407" s="60" t="s">
        <v>1360</v>
      </c>
      <c r="H407" s="60"/>
      <c r="I407" s="60"/>
      <c r="J407" s="58" t="s">
        <v>740</v>
      </c>
      <c r="K407" s="58" t="s">
        <v>54</v>
      </c>
      <c r="L407" s="58" t="s">
        <v>741</v>
      </c>
      <c r="M407" s="60"/>
      <c r="N407" s="65">
        <v>46239</v>
      </c>
      <c r="O407" s="60" t="s">
        <v>153</v>
      </c>
      <c r="P407" s="60"/>
      <c r="Q407" s="60" t="s">
        <v>82</v>
      </c>
      <c r="R407" s="60"/>
      <c r="S407" s="60" t="s">
        <v>1240</v>
      </c>
      <c r="T407" s="60"/>
      <c r="U407" s="61" t="s">
        <v>61</v>
      </c>
    </row>
    <row r="408" spans="1:21" ht="67.5">
      <c r="A408" s="60" t="s">
        <v>1361</v>
      </c>
      <c r="B408" s="60" t="s">
        <v>1362</v>
      </c>
      <c r="C408" s="61" t="s">
        <v>49</v>
      </c>
      <c r="D408" s="61" t="s">
        <v>1242</v>
      </c>
      <c r="E408" s="62" t="s">
        <v>19</v>
      </c>
      <c r="F408" s="57" t="s">
        <v>618</v>
      </c>
      <c r="G408" s="60" t="s">
        <v>1363</v>
      </c>
      <c r="H408" s="60"/>
      <c r="I408" s="60"/>
      <c r="J408" s="58" t="s">
        <v>740</v>
      </c>
      <c r="K408" s="58" t="s">
        <v>54</v>
      </c>
      <c r="L408" s="58" t="s">
        <v>741</v>
      </c>
      <c r="M408" s="60"/>
      <c r="N408" s="65">
        <v>46239</v>
      </c>
      <c r="O408" s="60" t="s">
        <v>153</v>
      </c>
      <c r="P408" s="60"/>
      <c r="Q408" s="60" t="s">
        <v>82</v>
      </c>
      <c r="R408" s="60"/>
      <c r="S408" s="60" t="s">
        <v>1355</v>
      </c>
      <c r="T408" s="60"/>
      <c r="U408" s="61" t="s">
        <v>61</v>
      </c>
    </row>
    <row r="409" spans="1:21" ht="54">
      <c r="A409" s="60" t="s">
        <v>1364</v>
      </c>
      <c r="B409" s="60" t="s">
        <v>1365</v>
      </c>
      <c r="C409" s="61" t="s">
        <v>49</v>
      </c>
      <c r="D409" s="61" t="s">
        <v>1242</v>
      </c>
      <c r="E409" s="62" t="s">
        <v>1254</v>
      </c>
      <c r="F409" s="57" t="s">
        <v>618</v>
      </c>
      <c r="G409" s="60" t="s">
        <v>1366</v>
      </c>
      <c r="H409" s="60"/>
      <c r="I409" s="60"/>
      <c r="J409" s="58" t="s">
        <v>740</v>
      </c>
      <c r="K409" s="58" t="s">
        <v>54</v>
      </c>
      <c r="L409" s="58" t="s">
        <v>741</v>
      </c>
      <c r="M409" s="60"/>
      <c r="N409" s="65">
        <v>46239</v>
      </c>
      <c r="O409" s="60" t="s">
        <v>153</v>
      </c>
      <c r="P409" s="60"/>
      <c r="Q409" s="60" t="s">
        <v>82</v>
      </c>
      <c r="R409" s="60"/>
      <c r="S409" s="60" t="s">
        <v>1355</v>
      </c>
      <c r="T409" s="60"/>
      <c r="U409" s="61" t="s">
        <v>61</v>
      </c>
    </row>
    <row r="410" spans="1:21" ht="54">
      <c r="A410" s="60" t="s">
        <v>1367</v>
      </c>
      <c r="B410" s="60" t="s">
        <v>1368</v>
      </c>
      <c r="C410" s="61" t="s">
        <v>49</v>
      </c>
      <c r="D410" s="61" t="s">
        <v>1242</v>
      </c>
      <c r="E410" s="62" t="s">
        <v>21</v>
      </c>
      <c r="F410" s="57" t="s">
        <v>618</v>
      </c>
      <c r="G410" s="60" t="s">
        <v>1369</v>
      </c>
      <c r="H410" s="60"/>
      <c r="I410" s="60"/>
      <c r="J410" s="58" t="s">
        <v>740</v>
      </c>
      <c r="K410" s="58" t="s">
        <v>54</v>
      </c>
      <c r="L410" s="58" t="s">
        <v>741</v>
      </c>
      <c r="M410" s="60"/>
      <c r="N410" s="65">
        <v>46239</v>
      </c>
      <c r="O410" s="60" t="s">
        <v>153</v>
      </c>
      <c r="P410" s="60"/>
      <c r="Q410" s="60" t="s">
        <v>89</v>
      </c>
      <c r="R410" s="60"/>
      <c r="S410" s="60" t="s">
        <v>1361</v>
      </c>
      <c r="T410" s="60"/>
      <c r="U410" s="61" t="s">
        <v>61</v>
      </c>
    </row>
    <row r="411" spans="1:21" ht="67.5">
      <c r="A411" s="60" t="s">
        <v>1370</v>
      </c>
      <c r="B411" s="60" t="s">
        <v>1371</v>
      </c>
      <c r="C411" s="61" t="s">
        <v>49</v>
      </c>
      <c r="D411" s="61" t="s">
        <v>1242</v>
      </c>
      <c r="E411" s="62" t="s">
        <v>19</v>
      </c>
      <c r="F411" s="57" t="s">
        <v>618</v>
      </c>
      <c r="G411" s="60" t="s">
        <v>1372</v>
      </c>
      <c r="H411" s="60"/>
      <c r="I411" s="60"/>
      <c r="J411" s="58" t="s">
        <v>740</v>
      </c>
      <c r="K411" s="58" t="s">
        <v>54</v>
      </c>
      <c r="L411" s="58" t="s">
        <v>741</v>
      </c>
      <c r="M411" s="60"/>
      <c r="N411" s="65">
        <v>46239</v>
      </c>
      <c r="O411" s="60" t="s">
        <v>153</v>
      </c>
      <c r="P411" s="60"/>
      <c r="Q411" s="60" t="s">
        <v>82</v>
      </c>
      <c r="R411" s="60"/>
      <c r="S411" s="60" t="s">
        <v>1355</v>
      </c>
      <c r="T411" s="60"/>
      <c r="U411" s="61" t="s">
        <v>61</v>
      </c>
    </row>
    <row r="412" spans="1:21" ht="67.5">
      <c r="A412" s="60" t="s">
        <v>1373</v>
      </c>
      <c r="B412" s="60" t="s">
        <v>1374</v>
      </c>
      <c r="C412" s="61" t="s">
        <v>49</v>
      </c>
      <c r="D412" s="61" t="s">
        <v>1242</v>
      </c>
      <c r="E412" s="62" t="s">
        <v>19</v>
      </c>
      <c r="F412" s="57" t="s">
        <v>618</v>
      </c>
      <c r="G412" s="60" t="s">
        <v>1375</v>
      </c>
      <c r="H412" s="60"/>
      <c r="I412" s="60"/>
      <c r="J412" s="58" t="s">
        <v>740</v>
      </c>
      <c r="K412" s="58" t="s">
        <v>54</v>
      </c>
      <c r="L412" s="58" t="s">
        <v>741</v>
      </c>
      <c r="M412" s="60"/>
      <c r="N412" s="65">
        <v>46239</v>
      </c>
      <c r="O412" s="60" t="s">
        <v>153</v>
      </c>
      <c r="P412" s="60"/>
      <c r="Q412" s="60" t="s">
        <v>82</v>
      </c>
      <c r="R412" s="60"/>
      <c r="S412" s="60" t="s">
        <v>1355</v>
      </c>
      <c r="T412" s="60"/>
      <c r="U412" s="61" t="s">
        <v>61</v>
      </c>
    </row>
    <row r="413" spans="1:21" ht="67.5">
      <c r="A413" s="60" t="s">
        <v>1376</v>
      </c>
      <c r="B413" s="60" t="s">
        <v>1377</v>
      </c>
      <c r="C413" s="61" t="s">
        <v>49</v>
      </c>
      <c r="D413" s="61" t="s">
        <v>1242</v>
      </c>
      <c r="E413" s="62" t="s">
        <v>21</v>
      </c>
      <c r="F413" s="57" t="s">
        <v>618</v>
      </c>
      <c r="G413" s="60" t="s">
        <v>1378</v>
      </c>
      <c r="H413" s="60"/>
      <c r="I413" s="60"/>
      <c r="J413" s="58" t="s">
        <v>740</v>
      </c>
      <c r="K413" s="58" t="s">
        <v>54</v>
      </c>
      <c r="L413" s="58" t="s">
        <v>741</v>
      </c>
      <c r="M413" s="60"/>
      <c r="N413" s="65">
        <v>46239</v>
      </c>
      <c r="O413" s="60" t="s">
        <v>153</v>
      </c>
      <c r="P413" s="60"/>
      <c r="Q413" s="60" t="s">
        <v>89</v>
      </c>
      <c r="R413" s="60"/>
      <c r="S413" s="60" t="s">
        <v>1355</v>
      </c>
      <c r="T413" s="60"/>
      <c r="U413" s="61" t="s">
        <v>61</v>
      </c>
    </row>
    <row r="414" spans="1:21" ht="54">
      <c r="A414" s="60" t="s">
        <v>1379</v>
      </c>
      <c r="B414" s="60" t="s">
        <v>1380</v>
      </c>
      <c r="C414" s="61" t="s">
        <v>49</v>
      </c>
      <c r="D414" s="61" t="s">
        <v>1242</v>
      </c>
      <c r="E414" s="62" t="s">
        <v>21</v>
      </c>
      <c r="F414" s="57" t="s">
        <v>618</v>
      </c>
      <c r="G414" s="60" t="s">
        <v>1381</v>
      </c>
      <c r="H414" s="60"/>
      <c r="I414" s="60"/>
      <c r="J414" s="58" t="s">
        <v>740</v>
      </c>
      <c r="K414" s="58" t="s">
        <v>54</v>
      </c>
      <c r="L414" s="58" t="s">
        <v>741</v>
      </c>
      <c r="M414" s="60"/>
      <c r="N414" s="65">
        <v>46239</v>
      </c>
      <c r="O414" s="60" t="s">
        <v>153</v>
      </c>
      <c r="P414" s="60"/>
      <c r="Q414" s="60" t="s">
        <v>89</v>
      </c>
      <c r="R414" s="60"/>
      <c r="S414" s="60" t="s">
        <v>1355</v>
      </c>
      <c r="T414" s="60"/>
      <c r="U414" s="61" t="s">
        <v>61</v>
      </c>
    </row>
    <row r="415" spans="1:21" ht="67.5">
      <c r="A415" s="60" t="s">
        <v>1382</v>
      </c>
      <c r="B415" s="60" t="s">
        <v>1383</v>
      </c>
      <c r="C415" s="61" t="s">
        <v>49</v>
      </c>
      <c r="D415" s="61" t="s">
        <v>1242</v>
      </c>
      <c r="E415" s="62" t="s">
        <v>21</v>
      </c>
      <c r="F415" s="57" t="s">
        <v>618</v>
      </c>
      <c r="G415" s="60" t="s">
        <v>1384</v>
      </c>
      <c r="H415" s="60"/>
      <c r="I415" s="60"/>
      <c r="J415" s="58" t="s">
        <v>740</v>
      </c>
      <c r="K415" s="58" t="s">
        <v>54</v>
      </c>
      <c r="L415" s="58" t="s">
        <v>741</v>
      </c>
      <c r="M415" s="60"/>
      <c r="N415" s="65">
        <v>46239</v>
      </c>
      <c r="O415" s="60" t="s">
        <v>153</v>
      </c>
      <c r="P415" s="60"/>
      <c r="Q415" s="60" t="s">
        <v>89</v>
      </c>
      <c r="R415" s="60"/>
      <c r="S415" s="60" t="s">
        <v>1355</v>
      </c>
      <c r="T415" s="60"/>
      <c r="U415" s="61" t="s">
        <v>61</v>
      </c>
    </row>
    <row r="416" spans="1:21" ht="67.5">
      <c r="A416" s="60" t="s">
        <v>1385</v>
      </c>
      <c r="B416" s="60" t="s">
        <v>1386</v>
      </c>
      <c r="C416" s="61" t="s">
        <v>49</v>
      </c>
      <c r="D416" s="61" t="s">
        <v>1242</v>
      </c>
      <c r="E416" s="62" t="s">
        <v>21</v>
      </c>
      <c r="F416" s="57" t="s">
        <v>618</v>
      </c>
      <c r="G416" s="60" t="s">
        <v>1387</v>
      </c>
      <c r="H416" s="60"/>
      <c r="I416" s="60"/>
      <c r="J416" s="58" t="s">
        <v>740</v>
      </c>
      <c r="K416" s="58" t="s">
        <v>54</v>
      </c>
      <c r="L416" s="58" t="s">
        <v>741</v>
      </c>
      <c r="M416" s="60"/>
      <c r="N416" s="65">
        <v>46239</v>
      </c>
      <c r="O416" s="60" t="s">
        <v>153</v>
      </c>
      <c r="P416" s="60"/>
      <c r="Q416" s="60" t="s">
        <v>89</v>
      </c>
      <c r="R416" s="60"/>
      <c r="S416" s="60" t="s">
        <v>1355</v>
      </c>
      <c r="T416" s="60"/>
      <c r="U416" s="61" t="s">
        <v>61</v>
      </c>
    </row>
    <row r="417" spans="1:21" ht="67.5">
      <c r="A417" s="60" t="s">
        <v>1388</v>
      </c>
      <c r="B417" s="60" t="s">
        <v>1389</v>
      </c>
      <c r="C417" s="61" t="s">
        <v>49</v>
      </c>
      <c r="D417" s="61" t="s">
        <v>1242</v>
      </c>
      <c r="E417" s="62" t="s">
        <v>21</v>
      </c>
      <c r="F417" s="57" t="s">
        <v>618</v>
      </c>
      <c r="G417" s="60" t="s">
        <v>1390</v>
      </c>
      <c r="H417" s="60"/>
      <c r="I417" s="60"/>
      <c r="J417" s="58" t="s">
        <v>740</v>
      </c>
      <c r="K417" s="58" t="s">
        <v>54</v>
      </c>
      <c r="L417" s="58" t="s">
        <v>741</v>
      </c>
      <c r="M417" s="60"/>
      <c r="N417" s="65">
        <v>46239</v>
      </c>
      <c r="O417" s="60" t="s">
        <v>153</v>
      </c>
      <c r="P417" s="60"/>
      <c r="Q417" s="60" t="s">
        <v>89</v>
      </c>
      <c r="R417" s="60"/>
      <c r="S417" s="60" t="s">
        <v>1355</v>
      </c>
      <c r="T417" s="60"/>
      <c r="U417" s="61" t="s">
        <v>61</v>
      </c>
    </row>
    <row r="418" spans="1:21" ht="67.5">
      <c r="A418" s="60" t="s">
        <v>1391</v>
      </c>
      <c r="B418" s="60" t="s">
        <v>1392</v>
      </c>
      <c r="C418" s="61" t="s">
        <v>49</v>
      </c>
      <c r="D418" s="61" t="s">
        <v>1242</v>
      </c>
      <c r="E418" s="62" t="s">
        <v>21</v>
      </c>
      <c r="F418" s="57" t="s">
        <v>618</v>
      </c>
      <c r="G418" s="60" t="s">
        <v>1393</v>
      </c>
      <c r="H418" s="60"/>
      <c r="I418" s="60"/>
      <c r="J418" s="58" t="s">
        <v>740</v>
      </c>
      <c r="K418" s="58" t="s">
        <v>54</v>
      </c>
      <c r="L418" s="58" t="s">
        <v>741</v>
      </c>
      <c r="M418" s="60"/>
      <c r="N418" s="65">
        <v>46240</v>
      </c>
      <c r="O418" s="60" t="s">
        <v>153</v>
      </c>
      <c r="P418" s="60"/>
      <c r="Q418" s="60" t="s">
        <v>89</v>
      </c>
      <c r="R418" s="60"/>
      <c r="S418" s="60" t="s">
        <v>1355</v>
      </c>
      <c r="T418" s="60"/>
      <c r="U418" s="61" t="s">
        <v>61</v>
      </c>
    </row>
    <row r="419" spans="1:21" ht="54">
      <c r="A419" s="60" t="s">
        <v>1394</v>
      </c>
      <c r="B419" s="60" t="s">
        <v>1395</v>
      </c>
      <c r="C419" s="61" t="s">
        <v>49</v>
      </c>
      <c r="D419" s="61" t="s">
        <v>1242</v>
      </c>
      <c r="E419" s="62" t="s">
        <v>19</v>
      </c>
      <c r="F419" s="57" t="s">
        <v>618</v>
      </c>
      <c r="G419" s="60" t="s">
        <v>1396</v>
      </c>
      <c r="H419" s="60"/>
      <c r="I419" s="60"/>
      <c r="J419" s="58" t="s">
        <v>740</v>
      </c>
      <c r="K419" s="58" t="s">
        <v>54</v>
      </c>
      <c r="L419" s="58" t="s">
        <v>741</v>
      </c>
      <c r="M419" s="60"/>
      <c r="N419" s="65">
        <v>46240</v>
      </c>
      <c r="O419" s="60" t="s">
        <v>153</v>
      </c>
      <c r="P419" s="60"/>
      <c r="Q419" s="60" t="s">
        <v>82</v>
      </c>
      <c r="R419" s="60"/>
      <c r="S419" s="60" t="s">
        <v>1355</v>
      </c>
      <c r="T419" s="60"/>
      <c r="U419" s="61" t="s">
        <v>61</v>
      </c>
    </row>
    <row r="420" spans="1:21" ht="54">
      <c r="A420" s="60" t="s">
        <v>1397</v>
      </c>
      <c r="B420" s="60" t="s">
        <v>1398</v>
      </c>
      <c r="C420" s="61" t="s">
        <v>49</v>
      </c>
      <c r="D420" s="61" t="s">
        <v>1242</v>
      </c>
      <c r="E420" s="62" t="s">
        <v>21</v>
      </c>
      <c r="F420" s="57" t="s">
        <v>618</v>
      </c>
      <c r="G420" s="60" t="s">
        <v>1399</v>
      </c>
      <c r="H420" s="60"/>
      <c r="I420" s="60"/>
      <c r="J420" s="58" t="s">
        <v>740</v>
      </c>
      <c r="K420" s="58" t="s">
        <v>54</v>
      </c>
      <c r="L420" s="58" t="s">
        <v>741</v>
      </c>
      <c r="M420" s="60"/>
      <c r="N420" s="65">
        <v>46240</v>
      </c>
      <c r="O420" s="60" t="s">
        <v>153</v>
      </c>
      <c r="P420" s="60"/>
      <c r="Q420" s="60" t="s">
        <v>89</v>
      </c>
      <c r="R420" s="60"/>
      <c r="S420" s="60" t="s">
        <v>1355</v>
      </c>
      <c r="T420" s="60"/>
      <c r="U420" s="61" t="s">
        <v>61</v>
      </c>
    </row>
    <row r="421" spans="1:21" ht="67.5">
      <c r="A421" s="60" t="s">
        <v>1400</v>
      </c>
      <c r="B421" s="60" t="s">
        <v>1401</v>
      </c>
      <c r="C421" s="61" t="s">
        <v>49</v>
      </c>
      <c r="D421" s="61" t="s">
        <v>1242</v>
      </c>
      <c r="E421" s="62" t="s">
        <v>19</v>
      </c>
      <c r="F421" s="57" t="s">
        <v>618</v>
      </c>
      <c r="G421" s="60" t="s">
        <v>1402</v>
      </c>
      <c r="H421" s="60"/>
      <c r="I421" s="60"/>
      <c r="J421" s="58" t="s">
        <v>740</v>
      </c>
      <c r="K421" s="58" t="s">
        <v>54</v>
      </c>
      <c r="L421" s="58" t="s">
        <v>741</v>
      </c>
      <c r="M421" s="60"/>
      <c r="N421" s="65">
        <v>46240</v>
      </c>
      <c r="O421" s="60" t="s">
        <v>153</v>
      </c>
      <c r="P421" s="60"/>
      <c r="Q421" s="60" t="s">
        <v>82</v>
      </c>
      <c r="R421" s="60"/>
      <c r="S421" s="60" t="s">
        <v>1355</v>
      </c>
      <c r="T421" s="60"/>
      <c r="U421" s="61" t="s">
        <v>61</v>
      </c>
    </row>
    <row r="422" spans="1:21" ht="54">
      <c r="A422" s="60" t="s">
        <v>1403</v>
      </c>
      <c r="B422" s="60" t="s">
        <v>1404</v>
      </c>
      <c r="C422" s="61" t="s">
        <v>49</v>
      </c>
      <c r="D422" s="61" t="s">
        <v>1242</v>
      </c>
      <c r="E422" s="62" t="s">
        <v>21</v>
      </c>
      <c r="F422" s="57" t="s">
        <v>618</v>
      </c>
      <c r="G422" s="60" t="s">
        <v>1405</v>
      </c>
      <c r="H422" s="60"/>
      <c r="I422" s="60"/>
      <c r="J422" s="58" t="s">
        <v>740</v>
      </c>
      <c r="K422" s="58" t="s">
        <v>54</v>
      </c>
      <c r="L422" s="58" t="s">
        <v>741</v>
      </c>
      <c r="M422" s="60"/>
      <c r="N422" s="65">
        <v>46240</v>
      </c>
      <c r="O422" s="60" t="s">
        <v>153</v>
      </c>
      <c r="P422" s="60"/>
      <c r="Q422" s="60" t="s">
        <v>89</v>
      </c>
      <c r="R422" s="60"/>
      <c r="S422" s="60" t="s">
        <v>1355</v>
      </c>
      <c r="T422" s="60"/>
      <c r="U422" s="61" t="s">
        <v>61</v>
      </c>
    </row>
    <row r="423" spans="1:21" ht="54">
      <c r="A423" s="60" t="s">
        <v>1406</v>
      </c>
      <c r="B423" s="60" t="s">
        <v>1407</v>
      </c>
      <c r="C423" s="61" t="s">
        <v>49</v>
      </c>
      <c r="D423" s="61" t="s">
        <v>1242</v>
      </c>
      <c r="E423" s="62" t="s">
        <v>21</v>
      </c>
      <c r="F423" s="57" t="s">
        <v>618</v>
      </c>
      <c r="G423" s="60" t="s">
        <v>1408</v>
      </c>
      <c r="H423" s="60"/>
      <c r="I423" s="60"/>
      <c r="J423" s="58" t="s">
        <v>740</v>
      </c>
      <c r="K423" s="58" t="s">
        <v>54</v>
      </c>
      <c r="L423" s="58" t="s">
        <v>741</v>
      </c>
      <c r="M423" s="60"/>
      <c r="N423" s="65">
        <v>46240</v>
      </c>
      <c r="O423" s="60" t="s">
        <v>153</v>
      </c>
      <c r="P423" s="60"/>
      <c r="Q423" s="60" t="s">
        <v>89</v>
      </c>
      <c r="R423" s="60"/>
      <c r="S423" s="60" t="s">
        <v>1249</v>
      </c>
      <c r="T423" s="60"/>
      <c r="U423" s="61" t="s">
        <v>61</v>
      </c>
    </row>
    <row r="424" spans="1:21" ht="54">
      <c r="A424" s="60" t="s">
        <v>1409</v>
      </c>
      <c r="B424" s="60" t="s">
        <v>1410</v>
      </c>
      <c r="C424" s="61" t="s">
        <v>49</v>
      </c>
      <c r="D424" s="61" t="s">
        <v>1242</v>
      </c>
      <c r="E424" s="62" t="s">
        <v>26</v>
      </c>
      <c r="F424" s="57" t="s">
        <v>618</v>
      </c>
      <c r="G424" s="60" t="s">
        <v>1411</v>
      </c>
      <c r="H424" s="60"/>
      <c r="I424" s="60"/>
      <c r="J424" s="58" t="s">
        <v>740</v>
      </c>
      <c r="K424" s="58" t="s">
        <v>54</v>
      </c>
      <c r="L424" s="58" t="s">
        <v>741</v>
      </c>
      <c r="M424" s="60"/>
      <c r="N424" s="65">
        <v>46240</v>
      </c>
      <c r="O424" s="60" t="s">
        <v>153</v>
      </c>
      <c r="P424" s="60"/>
      <c r="Q424" s="60" t="s">
        <v>59</v>
      </c>
      <c r="R424" s="60"/>
      <c r="S424" s="60" t="s">
        <v>1355</v>
      </c>
      <c r="T424" s="60"/>
      <c r="U424" s="61" t="s">
        <v>61</v>
      </c>
    </row>
    <row r="425" spans="1:21" ht="54">
      <c r="A425" s="60" t="s">
        <v>1412</v>
      </c>
      <c r="B425" s="60" t="s">
        <v>1413</v>
      </c>
      <c r="C425" s="61" t="s">
        <v>49</v>
      </c>
      <c r="D425" s="61" t="s">
        <v>1242</v>
      </c>
      <c r="E425" s="62" t="s">
        <v>21</v>
      </c>
      <c r="F425" s="57" t="s">
        <v>618</v>
      </c>
      <c r="G425" s="60" t="s">
        <v>1414</v>
      </c>
      <c r="H425" s="60"/>
      <c r="I425" s="60"/>
      <c r="J425" s="58" t="s">
        <v>740</v>
      </c>
      <c r="K425" s="58" t="s">
        <v>54</v>
      </c>
      <c r="L425" s="58" t="s">
        <v>741</v>
      </c>
      <c r="M425" s="60"/>
      <c r="N425" s="65">
        <v>46240</v>
      </c>
      <c r="O425" s="60" t="s">
        <v>153</v>
      </c>
      <c r="P425" s="60"/>
      <c r="Q425" s="60" t="s">
        <v>89</v>
      </c>
      <c r="R425" s="60"/>
      <c r="S425" s="60" t="s">
        <v>1355</v>
      </c>
      <c r="T425" s="60"/>
      <c r="U425" s="61" t="s">
        <v>61</v>
      </c>
    </row>
    <row r="426" spans="1:21" ht="40.5">
      <c r="A426" s="60" t="s">
        <v>1415</v>
      </c>
      <c r="B426" s="60" t="s">
        <v>1416</v>
      </c>
      <c r="C426" s="61" t="s">
        <v>49</v>
      </c>
      <c r="D426" s="61" t="s">
        <v>1242</v>
      </c>
      <c r="E426" s="62" t="s">
        <v>19</v>
      </c>
      <c r="F426" s="57" t="s">
        <v>618</v>
      </c>
      <c r="G426" s="60" t="s">
        <v>1417</v>
      </c>
      <c r="H426" s="60"/>
      <c r="I426" s="60"/>
      <c r="J426" s="58" t="s">
        <v>740</v>
      </c>
      <c r="K426" s="58" t="s">
        <v>54</v>
      </c>
      <c r="L426" s="58" t="s">
        <v>741</v>
      </c>
      <c r="M426" s="60"/>
      <c r="N426" s="65">
        <v>46240</v>
      </c>
      <c r="O426" s="60" t="s">
        <v>153</v>
      </c>
      <c r="P426" s="60"/>
      <c r="Q426" s="60" t="s">
        <v>82</v>
      </c>
      <c r="R426" s="60"/>
      <c r="S426" s="60" t="s">
        <v>1249</v>
      </c>
      <c r="T426" s="60"/>
      <c r="U426" s="61" t="s">
        <v>61</v>
      </c>
    </row>
    <row r="427" spans="1:21" ht="54">
      <c r="A427" s="60" t="s">
        <v>1418</v>
      </c>
      <c r="B427" s="60" t="s">
        <v>1419</v>
      </c>
      <c r="C427" s="61" t="s">
        <v>49</v>
      </c>
      <c r="D427" s="61" t="s">
        <v>1242</v>
      </c>
      <c r="E427" s="62" t="s">
        <v>19</v>
      </c>
      <c r="F427" s="57" t="s">
        <v>618</v>
      </c>
      <c r="G427" s="60" t="s">
        <v>1420</v>
      </c>
      <c r="H427" s="60"/>
      <c r="I427" s="60"/>
      <c r="J427" s="58" t="s">
        <v>740</v>
      </c>
      <c r="K427" s="58" t="s">
        <v>54</v>
      </c>
      <c r="L427" s="58" t="s">
        <v>741</v>
      </c>
      <c r="M427" s="60"/>
      <c r="N427" s="65">
        <v>46240</v>
      </c>
      <c r="O427" s="60" t="s">
        <v>153</v>
      </c>
      <c r="P427" s="60"/>
      <c r="Q427" s="60" t="s">
        <v>82</v>
      </c>
      <c r="R427" s="60"/>
      <c r="S427" s="60" t="s">
        <v>1412</v>
      </c>
      <c r="T427" s="60"/>
      <c r="U427" s="61" t="s">
        <v>61</v>
      </c>
    </row>
    <row r="428" spans="1:21" ht="54">
      <c r="A428" s="60" t="s">
        <v>1421</v>
      </c>
      <c r="B428" s="60" t="s">
        <v>1422</v>
      </c>
      <c r="C428" s="61" t="s">
        <v>49</v>
      </c>
      <c r="D428" s="61" t="s">
        <v>1242</v>
      </c>
      <c r="E428" s="62" t="s">
        <v>19</v>
      </c>
      <c r="F428" s="57" t="s">
        <v>618</v>
      </c>
      <c r="G428" s="60" t="s">
        <v>1423</v>
      </c>
      <c r="H428" s="60"/>
      <c r="I428" s="60"/>
      <c r="J428" s="58" t="s">
        <v>740</v>
      </c>
      <c r="K428" s="58" t="s">
        <v>54</v>
      </c>
      <c r="L428" s="58" t="s">
        <v>741</v>
      </c>
      <c r="M428" s="60"/>
      <c r="N428" s="65">
        <v>46240</v>
      </c>
      <c r="O428" s="60" t="s">
        <v>153</v>
      </c>
      <c r="P428" s="60"/>
      <c r="Q428" s="60" t="s">
        <v>82</v>
      </c>
      <c r="R428" s="60"/>
      <c r="S428" s="60" t="s">
        <v>1412</v>
      </c>
      <c r="T428" s="60"/>
      <c r="U428" s="61" t="s">
        <v>61</v>
      </c>
    </row>
    <row r="429" spans="1:21" ht="40.5">
      <c r="A429" s="60" t="s">
        <v>1424</v>
      </c>
      <c r="B429" s="60" t="s">
        <v>1425</v>
      </c>
      <c r="C429" s="61" t="s">
        <v>49</v>
      </c>
      <c r="D429" s="61" t="s">
        <v>1242</v>
      </c>
      <c r="E429" s="62" t="s">
        <v>19</v>
      </c>
      <c r="F429" s="57" t="s">
        <v>618</v>
      </c>
      <c r="G429" s="60" t="s">
        <v>1426</v>
      </c>
      <c r="H429" s="60"/>
      <c r="I429" s="60"/>
      <c r="J429" s="58" t="s">
        <v>740</v>
      </c>
      <c r="K429" s="58" t="s">
        <v>54</v>
      </c>
      <c r="L429" s="58" t="s">
        <v>741</v>
      </c>
      <c r="M429" s="60"/>
      <c r="N429" s="65">
        <v>46240</v>
      </c>
      <c r="O429" s="60" t="s">
        <v>153</v>
      </c>
      <c r="P429" s="60"/>
      <c r="Q429" s="60" t="s">
        <v>82</v>
      </c>
      <c r="R429" s="60"/>
      <c r="S429" s="60" t="s">
        <v>1412</v>
      </c>
      <c r="T429" s="60"/>
      <c r="U429" s="61" t="s">
        <v>61</v>
      </c>
    </row>
    <row r="430" spans="1:21" ht="54">
      <c r="A430" s="60" t="s">
        <v>1427</v>
      </c>
      <c r="B430" s="60" t="s">
        <v>1428</v>
      </c>
      <c r="C430" s="61" t="s">
        <v>49</v>
      </c>
      <c r="D430" s="61" t="s">
        <v>1242</v>
      </c>
      <c r="E430" s="62" t="s">
        <v>19</v>
      </c>
      <c r="F430" s="57" t="s">
        <v>618</v>
      </c>
      <c r="G430" s="60" t="s">
        <v>1429</v>
      </c>
      <c r="H430" s="60"/>
      <c r="I430" s="60"/>
      <c r="J430" s="58" t="s">
        <v>740</v>
      </c>
      <c r="K430" s="58" t="s">
        <v>54</v>
      </c>
      <c r="L430" s="58" t="s">
        <v>741</v>
      </c>
      <c r="M430" s="60"/>
      <c r="N430" s="65">
        <v>46240</v>
      </c>
      <c r="O430" s="60" t="s">
        <v>153</v>
      </c>
      <c r="P430" s="60"/>
      <c r="Q430" s="60" t="s">
        <v>82</v>
      </c>
      <c r="R430" s="60"/>
      <c r="S430" s="60" t="s">
        <v>1412</v>
      </c>
      <c r="T430" s="60"/>
      <c r="U430" s="61" t="s">
        <v>61</v>
      </c>
    </row>
    <row r="431" spans="1:21" ht="54">
      <c r="A431" s="60" t="s">
        <v>1430</v>
      </c>
      <c r="B431" s="60" t="s">
        <v>1431</v>
      </c>
      <c r="C431" s="61" t="s">
        <v>49</v>
      </c>
      <c r="D431" s="61" t="s">
        <v>1242</v>
      </c>
      <c r="E431" s="62" t="s">
        <v>21</v>
      </c>
      <c r="F431" s="57" t="s">
        <v>618</v>
      </c>
      <c r="G431" s="60" t="s">
        <v>1432</v>
      </c>
      <c r="H431" s="60"/>
      <c r="I431" s="60"/>
      <c r="J431" s="58" t="s">
        <v>740</v>
      </c>
      <c r="K431" s="58" t="s">
        <v>54</v>
      </c>
      <c r="L431" s="58" t="s">
        <v>741</v>
      </c>
      <c r="M431" s="60"/>
      <c r="N431" s="65">
        <v>46240</v>
      </c>
      <c r="O431" s="60" t="s">
        <v>153</v>
      </c>
      <c r="P431" s="60"/>
      <c r="Q431" s="60" t="s">
        <v>89</v>
      </c>
      <c r="R431" s="60"/>
      <c r="S431" s="60" t="s">
        <v>1412</v>
      </c>
      <c r="T431" s="60"/>
      <c r="U431" s="61" t="s">
        <v>61</v>
      </c>
    </row>
    <row r="432" spans="1:21" ht="67.5">
      <c r="A432" s="60" t="s">
        <v>1433</v>
      </c>
      <c r="B432" s="60" t="s">
        <v>1434</v>
      </c>
      <c r="C432" s="61" t="s">
        <v>49</v>
      </c>
      <c r="D432" s="61" t="s">
        <v>1242</v>
      </c>
      <c r="E432" s="62" t="s">
        <v>1254</v>
      </c>
      <c r="F432" s="57" t="s">
        <v>618</v>
      </c>
      <c r="G432" s="60" t="s">
        <v>1435</v>
      </c>
      <c r="H432" s="60"/>
      <c r="I432" s="60"/>
      <c r="J432" s="58" t="s">
        <v>740</v>
      </c>
      <c r="K432" s="58" t="s">
        <v>54</v>
      </c>
      <c r="L432" s="58" t="s">
        <v>741</v>
      </c>
      <c r="M432" s="60"/>
      <c r="N432" s="65">
        <v>46240</v>
      </c>
      <c r="O432" s="60" t="s">
        <v>153</v>
      </c>
      <c r="P432" s="60"/>
      <c r="Q432" s="60" t="s">
        <v>82</v>
      </c>
      <c r="R432" s="60"/>
      <c r="S432" s="60" t="s">
        <v>1412</v>
      </c>
      <c r="T432" s="60"/>
      <c r="U432" s="61" t="s">
        <v>61</v>
      </c>
    </row>
    <row r="433" spans="1:21" ht="54">
      <c r="A433" s="60" t="s">
        <v>1436</v>
      </c>
      <c r="B433" s="60" t="s">
        <v>1437</v>
      </c>
      <c r="C433" s="61" t="s">
        <v>49</v>
      </c>
      <c r="D433" s="61" t="s">
        <v>1242</v>
      </c>
      <c r="E433" s="62" t="s">
        <v>19</v>
      </c>
      <c r="F433" s="57" t="s">
        <v>618</v>
      </c>
      <c r="G433" s="60" t="s">
        <v>1438</v>
      </c>
      <c r="H433" s="60"/>
      <c r="I433" s="60"/>
      <c r="J433" s="58" t="s">
        <v>740</v>
      </c>
      <c r="K433" s="58" t="s">
        <v>54</v>
      </c>
      <c r="L433" s="58" t="s">
        <v>741</v>
      </c>
      <c r="M433" s="60"/>
      <c r="N433" s="65">
        <v>46240</v>
      </c>
      <c r="O433" s="60" t="s">
        <v>153</v>
      </c>
      <c r="P433" s="60"/>
      <c r="Q433" s="60" t="s">
        <v>82</v>
      </c>
      <c r="R433" s="60"/>
      <c r="S433" s="60" t="s">
        <v>1430</v>
      </c>
      <c r="T433" s="60"/>
      <c r="U433" s="61" t="s">
        <v>61</v>
      </c>
    </row>
    <row r="434" spans="1:21" ht="67.5">
      <c r="A434" s="60" t="s">
        <v>1439</v>
      </c>
      <c r="B434" s="60" t="s">
        <v>1440</v>
      </c>
      <c r="C434" s="61" t="s">
        <v>49</v>
      </c>
      <c r="D434" s="61" t="s">
        <v>1242</v>
      </c>
      <c r="E434" s="62" t="s">
        <v>19</v>
      </c>
      <c r="F434" s="57" t="s">
        <v>618</v>
      </c>
      <c r="G434" s="60" t="s">
        <v>1441</v>
      </c>
      <c r="H434" s="60"/>
      <c r="I434" s="60"/>
      <c r="J434" s="58" t="s">
        <v>740</v>
      </c>
      <c r="K434" s="58" t="s">
        <v>54</v>
      </c>
      <c r="L434" s="58" t="s">
        <v>741</v>
      </c>
      <c r="M434" s="60"/>
      <c r="N434" s="65">
        <v>46240</v>
      </c>
      <c r="O434" s="60" t="s">
        <v>153</v>
      </c>
      <c r="P434" s="60"/>
      <c r="Q434" s="60" t="s">
        <v>82</v>
      </c>
      <c r="R434" s="60"/>
      <c r="S434" s="60" t="s">
        <v>1430</v>
      </c>
      <c r="T434" s="60"/>
      <c r="U434" s="61" t="s">
        <v>61</v>
      </c>
    </row>
    <row r="435" spans="1:21" ht="40.5">
      <c r="A435" s="60" t="s">
        <v>1442</v>
      </c>
      <c r="B435" s="60" t="s">
        <v>1443</v>
      </c>
      <c r="C435" s="61" t="s">
        <v>49</v>
      </c>
      <c r="D435" s="61" t="s">
        <v>1242</v>
      </c>
      <c r="E435" s="62" t="s">
        <v>19</v>
      </c>
      <c r="F435" s="57" t="s">
        <v>618</v>
      </c>
      <c r="G435" s="60" t="s">
        <v>1444</v>
      </c>
      <c r="H435" s="60"/>
      <c r="I435" s="60"/>
      <c r="J435" s="58" t="s">
        <v>740</v>
      </c>
      <c r="K435" s="58" t="s">
        <v>54</v>
      </c>
      <c r="L435" s="58" t="s">
        <v>741</v>
      </c>
      <c r="M435" s="60"/>
      <c r="N435" s="65">
        <v>46240</v>
      </c>
      <c r="O435" s="60" t="s">
        <v>153</v>
      </c>
      <c r="P435" s="60"/>
      <c r="Q435" s="60" t="s">
        <v>82</v>
      </c>
      <c r="R435" s="60"/>
      <c r="S435" s="60" t="s">
        <v>1436</v>
      </c>
      <c r="T435" s="60"/>
      <c r="U435" s="61" t="s">
        <v>61</v>
      </c>
    </row>
    <row r="436" spans="1:21" ht="54">
      <c r="A436" s="60" t="s">
        <v>1445</v>
      </c>
      <c r="B436" s="60" t="s">
        <v>1446</v>
      </c>
      <c r="C436" s="61" t="s">
        <v>49</v>
      </c>
      <c r="D436" s="61" t="s">
        <v>1242</v>
      </c>
      <c r="E436" s="62" t="s">
        <v>1254</v>
      </c>
      <c r="F436" s="57" t="s">
        <v>618</v>
      </c>
      <c r="G436" s="60" t="s">
        <v>1447</v>
      </c>
      <c r="H436" s="60"/>
      <c r="I436" s="60"/>
      <c r="J436" s="58" t="s">
        <v>740</v>
      </c>
      <c r="K436" s="58" t="s">
        <v>54</v>
      </c>
      <c r="L436" s="58" t="s">
        <v>741</v>
      </c>
      <c r="M436" s="60"/>
      <c r="N436" s="65">
        <v>46241</v>
      </c>
      <c r="O436" s="60" t="s">
        <v>153</v>
      </c>
      <c r="P436" s="60"/>
      <c r="Q436" s="60" t="s">
        <v>82</v>
      </c>
      <c r="R436" s="60"/>
      <c r="S436" s="60" t="s">
        <v>1436</v>
      </c>
      <c r="T436" s="60"/>
      <c r="U436" s="61" t="s">
        <v>61</v>
      </c>
    </row>
    <row r="437" spans="1:21" ht="40.5">
      <c r="A437" s="60" t="s">
        <v>1448</v>
      </c>
      <c r="B437" s="60" t="s">
        <v>1449</v>
      </c>
      <c r="C437" s="61" t="s">
        <v>49</v>
      </c>
      <c r="D437" s="61" t="s">
        <v>1242</v>
      </c>
      <c r="E437" s="62" t="s">
        <v>19</v>
      </c>
      <c r="F437" s="57" t="s">
        <v>618</v>
      </c>
      <c r="G437" s="60" t="s">
        <v>1450</v>
      </c>
      <c r="H437" s="60"/>
      <c r="I437" s="60"/>
      <c r="J437" s="58" t="s">
        <v>740</v>
      </c>
      <c r="K437" s="58" t="s">
        <v>54</v>
      </c>
      <c r="L437" s="58" t="s">
        <v>741</v>
      </c>
      <c r="M437" s="60"/>
      <c r="N437" s="65">
        <v>46241</v>
      </c>
      <c r="O437" s="60" t="s">
        <v>153</v>
      </c>
      <c r="P437" s="60"/>
      <c r="Q437" s="60" t="s">
        <v>82</v>
      </c>
      <c r="R437" s="60"/>
      <c r="S437" s="60" t="s">
        <v>1442</v>
      </c>
      <c r="T437" s="60"/>
      <c r="U437" s="61" t="s">
        <v>61</v>
      </c>
    </row>
    <row r="438" spans="1:21" ht="40.5">
      <c r="A438" s="60" t="s">
        <v>1451</v>
      </c>
      <c r="B438" s="60" t="s">
        <v>1452</v>
      </c>
      <c r="C438" s="61" t="s">
        <v>49</v>
      </c>
      <c r="D438" s="61" t="s">
        <v>1242</v>
      </c>
      <c r="E438" s="62" t="s">
        <v>19</v>
      </c>
      <c r="F438" s="57" t="s">
        <v>618</v>
      </c>
      <c r="G438" s="60" t="s">
        <v>1453</v>
      </c>
      <c r="H438" s="60"/>
      <c r="I438" s="60"/>
      <c r="J438" s="58" t="s">
        <v>740</v>
      </c>
      <c r="K438" s="58" t="s">
        <v>54</v>
      </c>
      <c r="L438" s="58" t="s">
        <v>741</v>
      </c>
      <c r="M438" s="60"/>
      <c r="N438" s="65">
        <v>46241</v>
      </c>
      <c r="O438" s="60" t="s">
        <v>153</v>
      </c>
      <c r="P438" s="60"/>
      <c r="Q438" s="60" t="s">
        <v>82</v>
      </c>
      <c r="R438" s="60"/>
      <c r="S438" s="60" t="s">
        <v>1442</v>
      </c>
      <c r="T438" s="60"/>
      <c r="U438" s="61" t="s">
        <v>61</v>
      </c>
    </row>
    <row r="439" spans="1:21" ht="67.5">
      <c r="A439" s="60" t="s">
        <v>1454</v>
      </c>
      <c r="B439" s="60" t="s">
        <v>1455</v>
      </c>
      <c r="C439" s="61" t="s">
        <v>49</v>
      </c>
      <c r="D439" s="61" t="s">
        <v>1242</v>
      </c>
      <c r="E439" s="62" t="s">
        <v>1254</v>
      </c>
      <c r="F439" s="57" t="s">
        <v>618</v>
      </c>
      <c r="G439" s="60" t="s">
        <v>1456</v>
      </c>
      <c r="H439" s="60"/>
      <c r="I439" s="60"/>
      <c r="J439" s="58" t="s">
        <v>740</v>
      </c>
      <c r="K439" s="58" t="s">
        <v>54</v>
      </c>
      <c r="L439" s="58" t="s">
        <v>741</v>
      </c>
      <c r="M439" s="60"/>
      <c r="N439" s="65">
        <v>46241</v>
      </c>
      <c r="O439" s="60" t="s">
        <v>153</v>
      </c>
      <c r="P439" s="60"/>
      <c r="Q439" s="60" t="s">
        <v>82</v>
      </c>
      <c r="R439" s="60"/>
      <c r="S439" s="60" t="s">
        <v>1442</v>
      </c>
      <c r="T439" s="60"/>
      <c r="U439" s="61" t="s">
        <v>61</v>
      </c>
    </row>
    <row r="440" spans="1:21" ht="54">
      <c r="A440" s="60" t="s">
        <v>1457</v>
      </c>
      <c r="B440" s="60" t="s">
        <v>1458</v>
      </c>
      <c r="C440" s="61" t="s">
        <v>49</v>
      </c>
      <c r="D440" s="61" t="s">
        <v>1242</v>
      </c>
      <c r="E440" s="62" t="s">
        <v>21</v>
      </c>
      <c r="F440" s="57" t="s">
        <v>618</v>
      </c>
      <c r="G440" s="60" t="s">
        <v>1459</v>
      </c>
      <c r="H440" s="60"/>
      <c r="I440" s="60"/>
      <c r="J440" s="58" t="s">
        <v>740</v>
      </c>
      <c r="K440" s="58" t="s">
        <v>54</v>
      </c>
      <c r="L440" s="58" t="s">
        <v>741</v>
      </c>
      <c r="M440" s="60"/>
      <c r="N440" s="65">
        <v>46241</v>
      </c>
      <c r="O440" s="60" t="s">
        <v>153</v>
      </c>
      <c r="P440" s="60"/>
      <c r="Q440" s="60" t="s">
        <v>89</v>
      </c>
      <c r="R440" s="60"/>
      <c r="S440" s="60" t="s">
        <v>1421</v>
      </c>
      <c r="T440" s="60"/>
      <c r="U440" s="61" t="s">
        <v>61</v>
      </c>
    </row>
    <row r="441" spans="1:21" ht="54">
      <c r="A441" s="60" t="s">
        <v>1460</v>
      </c>
      <c r="B441" s="60" t="s">
        <v>1461</v>
      </c>
      <c r="C441" s="61" t="s">
        <v>49</v>
      </c>
      <c r="D441" s="61" t="s">
        <v>1242</v>
      </c>
      <c r="E441" s="62" t="s">
        <v>21</v>
      </c>
      <c r="F441" s="57" t="s">
        <v>618</v>
      </c>
      <c r="G441" s="60" t="s">
        <v>1462</v>
      </c>
      <c r="H441" s="60"/>
      <c r="I441" s="60"/>
      <c r="J441" s="58" t="s">
        <v>740</v>
      </c>
      <c r="K441" s="58" t="s">
        <v>54</v>
      </c>
      <c r="L441" s="58" t="s">
        <v>741</v>
      </c>
      <c r="M441" s="60"/>
      <c r="N441" s="65">
        <v>46241</v>
      </c>
      <c r="O441" s="60" t="s">
        <v>153</v>
      </c>
      <c r="P441" s="60"/>
      <c r="Q441" s="60" t="s">
        <v>89</v>
      </c>
      <c r="R441" s="60"/>
      <c r="S441" s="60" t="s">
        <v>1412</v>
      </c>
      <c r="T441" s="60"/>
      <c r="U441" s="61" t="s">
        <v>61</v>
      </c>
    </row>
    <row r="442" spans="1:21" ht="40.5">
      <c r="A442" s="60" t="s">
        <v>1463</v>
      </c>
      <c r="B442" s="60" t="s">
        <v>1464</v>
      </c>
      <c r="C442" s="61" t="s">
        <v>49</v>
      </c>
      <c r="D442" s="61" t="s">
        <v>1242</v>
      </c>
      <c r="E442" s="62" t="s">
        <v>19</v>
      </c>
      <c r="F442" s="57" t="s">
        <v>618</v>
      </c>
      <c r="G442" s="60" t="s">
        <v>1465</v>
      </c>
      <c r="H442" s="60"/>
      <c r="I442" s="60"/>
      <c r="J442" s="58" t="s">
        <v>740</v>
      </c>
      <c r="K442" s="58" t="s">
        <v>54</v>
      </c>
      <c r="L442" s="58" t="s">
        <v>741</v>
      </c>
      <c r="M442" s="60"/>
      <c r="N442" s="65">
        <v>46241</v>
      </c>
      <c r="O442" s="60" t="s">
        <v>153</v>
      </c>
      <c r="P442" s="60"/>
      <c r="Q442" s="60" t="s">
        <v>82</v>
      </c>
      <c r="R442" s="60"/>
      <c r="S442" s="60" t="s">
        <v>1289</v>
      </c>
      <c r="T442" s="60"/>
      <c r="U442" s="61" t="s">
        <v>61</v>
      </c>
    </row>
    <row r="443" spans="1:21" ht="40.5">
      <c r="A443" s="60" t="s">
        <v>1466</v>
      </c>
      <c r="B443" s="60" t="s">
        <v>1467</v>
      </c>
      <c r="C443" s="61" t="s">
        <v>49</v>
      </c>
      <c r="D443" s="61" t="s">
        <v>1242</v>
      </c>
      <c r="E443" s="62" t="s">
        <v>19</v>
      </c>
      <c r="F443" s="57" t="s">
        <v>618</v>
      </c>
      <c r="G443" s="60" t="s">
        <v>1468</v>
      </c>
      <c r="H443" s="60"/>
      <c r="I443" s="60"/>
      <c r="J443" s="58" t="s">
        <v>740</v>
      </c>
      <c r="K443" s="58" t="s">
        <v>54</v>
      </c>
      <c r="L443" s="58" t="s">
        <v>741</v>
      </c>
      <c r="M443" s="60"/>
      <c r="N443" s="65">
        <v>46241</v>
      </c>
      <c r="O443" s="60" t="s">
        <v>153</v>
      </c>
      <c r="P443" s="60"/>
      <c r="Q443" s="60" t="s">
        <v>82</v>
      </c>
      <c r="R443" s="60"/>
      <c r="S443" s="60" t="s">
        <v>1289</v>
      </c>
      <c r="T443" s="60"/>
      <c r="U443" s="61" t="s">
        <v>61</v>
      </c>
    </row>
    <row r="444" spans="1:21" ht="54">
      <c r="A444" s="60" t="s">
        <v>1469</v>
      </c>
      <c r="B444" s="60" t="s">
        <v>1470</v>
      </c>
      <c r="C444" s="61" t="s">
        <v>49</v>
      </c>
      <c r="D444" s="61" t="s">
        <v>1242</v>
      </c>
      <c r="E444" s="62" t="s">
        <v>21</v>
      </c>
      <c r="F444" s="57" t="s">
        <v>618</v>
      </c>
      <c r="G444" s="60" t="s">
        <v>1471</v>
      </c>
      <c r="H444" s="60"/>
      <c r="I444" s="60"/>
      <c r="J444" s="58" t="s">
        <v>740</v>
      </c>
      <c r="K444" s="58" t="s">
        <v>54</v>
      </c>
      <c r="L444" s="58" t="s">
        <v>741</v>
      </c>
      <c r="M444" s="60"/>
      <c r="N444" s="65">
        <v>46244</v>
      </c>
      <c r="O444" s="60" t="s">
        <v>153</v>
      </c>
      <c r="P444" s="60"/>
      <c r="Q444" s="60" t="s">
        <v>89</v>
      </c>
      <c r="R444" s="60"/>
      <c r="S444" s="60" t="s">
        <v>1249</v>
      </c>
      <c r="T444" s="60"/>
      <c r="U444" s="61" t="s">
        <v>61</v>
      </c>
    </row>
    <row r="445" spans="1:21" ht="40.5">
      <c r="A445" s="60" t="s">
        <v>1472</v>
      </c>
      <c r="B445" s="60" t="s">
        <v>1473</v>
      </c>
      <c r="C445" s="61" t="s">
        <v>49</v>
      </c>
      <c r="D445" s="61" t="s">
        <v>1242</v>
      </c>
      <c r="E445" s="62" t="s">
        <v>21</v>
      </c>
      <c r="F445" s="57" t="s">
        <v>618</v>
      </c>
      <c r="G445" s="60" t="s">
        <v>1474</v>
      </c>
      <c r="H445" s="60"/>
      <c r="I445" s="60"/>
      <c r="J445" s="58" t="s">
        <v>740</v>
      </c>
      <c r="K445" s="58" t="s">
        <v>54</v>
      </c>
      <c r="L445" s="58" t="s">
        <v>741</v>
      </c>
      <c r="M445" s="60"/>
      <c r="N445" s="65">
        <v>46244</v>
      </c>
      <c r="O445" s="60" t="s">
        <v>153</v>
      </c>
      <c r="P445" s="60"/>
      <c r="Q445" s="60" t="s">
        <v>89</v>
      </c>
      <c r="R445" s="60"/>
      <c r="S445" s="60" t="s">
        <v>1249</v>
      </c>
      <c r="T445" s="60"/>
      <c r="U445" s="61" t="s">
        <v>61</v>
      </c>
    </row>
    <row r="446" spans="1:21" ht="54">
      <c r="A446" s="60" t="s">
        <v>1475</v>
      </c>
      <c r="B446" s="60" t="s">
        <v>1476</v>
      </c>
      <c r="C446" s="61" t="s">
        <v>49</v>
      </c>
      <c r="D446" s="61" t="s">
        <v>1242</v>
      </c>
      <c r="E446" s="62" t="s">
        <v>19</v>
      </c>
      <c r="F446" s="57" t="s">
        <v>618</v>
      </c>
      <c r="G446" s="60" t="s">
        <v>1477</v>
      </c>
      <c r="H446" s="60"/>
      <c r="I446" s="60"/>
      <c r="J446" s="58" t="s">
        <v>740</v>
      </c>
      <c r="K446" s="58" t="s">
        <v>54</v>
      </c>
      <c r="L446" s="58" t="s">
        <v>741</v>
      </c>
      <c r="M446" s="60"/>
      <c r="N446" s="65">
        <v>46244</v>
      </c>
      <c r="O446" s="60" t="s">
        <v>153</v>
      </c>
      <c r="P446" s="60"/>
      <c r="Q446" s="60" t="s">
        <v>82</v>
      </c>
      <c r="R446" s="60"/>
      <c r="S446" s="60" t="s">
        <v>1249</v>
      </c>
      <c r="T446" s="60"/>
      <c r="U446" s="61" t="s">
        <v>61</v>
      </c>
    </row>
    <row r="447" spans="1:21" ht="54">
      <c r="A447" s="60" t="s">
        <v>1478</v>
      </c>
      <c r="B447" s="60" t="s">
        <v>1479</v>
      </c>
      <c r="C447" s="61" t="s">
        <v>49</v>
      </c>
      <c r="D447" s="61" t="s">
        <v>1242</v>
      </c>
      <c r="E447" s="62" t="s">
        <v>19</v>
      </c>
      <c r="F447" s="57" t="s">
        <v>618</v>
      </c>
      <c r="G447" s="60" t="s">
        <v>1480</v>
      </c>
      <c r="H447" s="60"/>
      <c r="I447" s="60"/>
      <c r="J447" s="58" t="s">
        <v>740</v>
      </c>
      <c r="K447" s="58" t="s">
        <v>54</v>
      </c>
      <c r="L447" s="58" t="s">
        <v>741</v>
      </c>
      <c r="M447" s="60"/>
      <c r="N447" s="65">
        <v>46244</v>
      </c>
      <c r="O447" s="60" t="s">
        <v>153</v>
      </c>
      <c r="P447" s="60"/>
      <c r="Q447" s="60" t="s">
        <v>82</v>
      </c>
      <c r="R447" s="60"/>
      <c r="S447" s="60" t="s">
        <v>1472</v>
      </c>
      <c r="T447" s="60"/>
      <c r="U447" s="61" t="s">
        <v>61</v>
      </c>
    </row>
    <row r="448" spans="1:21" ht="54">
      <c r="A448" s="60" t="s">
        <v>1481</v>
      </c>
      <c r="B448" s="60" t="s">
        <v>1482</v>
      </c>
      <c r="C448" s="61" t="s">
        <v>49</v>
      </c>
      <c r="D448" s="61" t="s">
        <v>1242</v>
      </c>
      <c r="E448" s="62" t="s">
        <v>21</v>
      </c>
      <c r="F448" s="57" t="s">
        <v>618</v>
      </c>
      <c r="G448" s="60" t="s">
        <v>1483</v>
      </c>
      <c r="H448" s="60"/>
      <c r="I448" s="60"/>
      <c r="J448" s="58" t="s">
        <v>740</v>
      </c>
      <c r="K448" s="58" t="s">
        <v>54</v>
      </c>
      <c r="L448" s="58" t="s">
        <v>741</v>
      </c>
      <c r="M448" s="60"/>
      <c r="N448" s="65">
        <v>46244</v>
      </c>
      <c r="O448" s="60" t="s">
        <v>153</v>
      </c>
      <c r="P448" s="60"/>
      <c r="Q448" s="60" t="s">
        <v>89</v>
      </c>
      <c r="R448" s="60"/>
      <c r="S448" s="60" t="s">
        <v>1475</v>
      </c>
      <c r="T448" s="60"/>
      <c r="U448" s="61" t="s">
        <v>61</v>
      </c>
    </row>
    <row r="449" spans="1:21" ht="54">
      <c r="A449" s="60" t="s">
        <v>1484</v>
      </c>
      <c r="B449" s="60" t="s">
        <v>1485</v>
      </c>
      <c r="C449" s="61" t="s">
        <v>49</v>
      </c>
      <c r="D449" s="61" t="s">
        <v>1242</v>
      </c>
      <c r="E449" s="62" t="s">
        <v>19</v>
      </c>
      <c r="F449" s="57" t="s">
        <v>618</v>
      </c>
      <c r="G449" s="60" t="s">
        <v>1486</v>
      </c>
      <c r="H449" s="60"/>
      <c r="I449" s="60"/>
      <c r="J449" s="58" t="s">
        <v>740</v>
      </c>
      <c r="K449" s="58" t="s">
        <v>54</v>
      </c>
      <c r="L449" s="58" t="s">
        <v>741</v>
      </c>
      <c r="M449" s="60"/>
      <c r="N449" s="65">
        <v>46244</v>
      </c>
      <c r="O449" s="60" t="s">
        <v>153</v>
      </c>
      <c r="P449" s="60"/>
      <c r="Q449" s="60" t="s">
        <v>82</v>
      </c>
      <c r="R449" s="60"/>
      <c r="S449" s="60" t="s">
        <v>1475</v>
      </c>
      <c r="T449" s="60"/>
      <c r="U449" s="61" t="s">
        <v>61</v>
      </c>
    </row>
    <row r="450" spans="1:21" ht="54">
      <c r="A450" s="60" t="s">
        <v>1487</v>
      </c>
      <c r="B450" s="60" t="s">
        <v>1488</v>
      </c>
      <c r="C450" s="61" t="s">
        <v>49</v>
      </c>
      <c r="D450" s="61" t="s">
        <v>1242</v>
      </c>
      <c r="E450" s="62" t="s">
        <v>19</v>
      </c>
      <c r="F450" s="57" t="s">
        <v>618</v>
      </c>
      <c r="G450" s="60" t="s">
        <v>1489</v>
      </c>
      <c r="H450" s="60"/>
      <c r="I450" s="60"/>
      <c r="J450" s="58" t="s">
        <v>740</v>
      </c>
      <c r="K450" s="58" t="s">
        <v>54</v>
      </c>
      <c r="L450" s="58" t="s">
        <v>741</v>
      </c>
      <c r="M450" s="60"/>
      <c r="N450" s="65">
        <v>46244</v>
      </c>
      <c r="O450" s="60" t="s">
        <v>153</v>
      </c>
      <c r="P450" s="60"/>
      <c r="Q450" s="60" t="s">
        <v>82</v>
      </c>
      <c r="R450" s="60"/>
      <c r="S450" s="60" t="s">
        <v>1475</v>
      </c>
      <c r="T450" s="60"/>
      <c r="U450" s="61" t="s">
        <v>61</v>
      </c>
    </row>
    <row r="451" spans="1:21" ht="81">
      <c r="A451" s="60" t="s">
        <v>1490</v>
      </c>
      <c r="B451" s="60" t="s">
        <v>1491</v>
      </c>
      <c r="C451" s="61" t="s">
        <v>49</v>
      </c>
      <c r="D451" s="61" t="s">
        <v>1242</v>
      </c>
      <c r="E451" s="62" t="s">
        <v>19</v>
      </c>
      <c r="F451" s="57" t="s">
        <v>618</v>
      </c>
      <c r="G451" s="60" t="s">
        <v>1492</v>
      </c>
      <c r="H451" s="60"/>
      <c r="I451" s="60"/>
      <c r="J451" s="58" t="s">
        <v>740</v>
      </c>
      <c r="K451" s="58" t="s">
        <v>54</v>
      </c>
      <c r="L451" s="58" t="s">
        <v>741</v>
      </c>
      <c r="M451" s="60"/>
      <c r="N451" s="65">
        <v>46244</v>
      </c>
      <c r="O451" s="60" t="s">
        <v>153</v>
      </c>
      <c r="P451" s="60"/>
      <c r="Q451" s="60" t="s">
        <v>82</v>
      </c>
      <c r="R451" s="60"/>
      <c r="S451" s="60" t="s">
        <v>1475</v>
      </c>
      <c r="T451" s="60"/>
      <c r="U451" s="61" t="s">
        <v>61</v>
      </c>
    </row>
    <row r="452" spans="1:21" ht="54">
      <c r="A452" s="60" t="s">
        <v>1493</v>
      </c>
      <c r="B452" s="60" t="s">
        <v>1494</v>
      </c>
      <c r="C452" s="61" t="s">
        <v>49</v>
      </c>
      <c r="D452" s="61" t="s">
        <v>1242</v>
      </c>
      <c r="E452" s="62" t="s">
        <v>19</v>
      </c>
      <c r="F452" s="57" t="s">
        <v>618</v>
      </c>
      <c r="G452" s="60" t="s">
        <v>1495</v>
      </c>
      <c r="H452" s="60"/>
      <c r="I452" s="60"/>
      <c r="J452" s="58" t="s">
        <v>740</v>
      </c>
      <c r="K452" s="58" t="s">
        <v>54</v>
      </c>
      <c r="L452" s="58" t="s">
        <v>741</v>
      </c>
      <c r="M452" s="60"/>
      <c r="N452" s="65">
        <v>46244</v>
      </c>
      <c r="O452" s="60" t="s">
        <v>153</v>
      </c>
      <c r="P452" s="60"/>
      <c r="Q452" s="60" t="s">
        <v>82</v>
      </c>
      <c r="R452" s="60"/>
      <c r="S452" s="60" t="s">
        <v>1289</v>
      </c>
      <c r="T452" s="60"/>
      <c r="U452" s="61" t="s">
        <v>61</v>
      </c>
    </row>
    <row r="453" spans="1:21" ht="54">
      <c r="A453" s="60" t="s">
        <v>1496</v>
      </c>
      <c r="B453" s="60" t="s">
        <v>1497</v>
      </c>
      <c r="C453" s="61" t="s">
        <v>49</v>
      </c>
      <c r="D453" s="61" t="s">
        <v>1242</v>
      </c>
      <c r="E453" s="62" t="s">
        <v>19</v>
      </c>
      <c r="F453" s="57" t="s">
        <v>618</v>
      </c>
      <c r="G453" s="60" t="s">
        <v>1498</v>
      </c>
      <c r="H453" s="60"/>
      <c r="I453" s="60"/>
      <c r="J453" s="58" t="s">
        <v>740</v>
      </c>
      <c r="K453" s="58" t="s">
        <v>54</v>
      </c>
      <c r="L453" s="58" t="s">
        <v>741</v>
      </c>
      <c r="M453" s="60"/>
      <c r="N453" s="65">
        <v>46244</v>
      </c>
      <c r="O453" s="60" t="s">
        <v>153</v>
      </c>
      <c r="P453" s="60"/>
      <c r="Q453" s="60" t="s">
        <v>82</v>
      </c>
      <c r="R453" s="60"/>
      <c r="S453" s="60" t="s">
        <v>1289</v>
      </c>
      <c r="T453" s="60"/>
      <c r="U453" s="61" t="s">
        <v>61</v>
      </c>
    </row>
    <row r="454" spans="1:21" ht="67.5">
      <c r="A454" s="60" t="s">
        <v>1499</v>
      </c>
      <c r="B454" s="60" t="s">
        <v>1500</v>
      </c>
      <c r="C454" s="61" t="s">
        <v>49</v>
      </c>
      <c r="D454" s="61" t="s">
        <v>1242</v>
      </c>
      <c r="E454" s="62" t="s">
        <v>19</v>
      </c>
      <c r="F454" s="57" t="s">
        <v>618</v>
      </c>
      <c r="G454" s="60" t="s">
        <v>1501</v>
      </c>
      <c r="H454" s="60"/>
      <c r="I454" s="60"/>
      <c r="J454" s="58" t="s">
        <v>740</v>
      </c>
      <c r="K454" s="58" t="s">
        <v>54</v>
      </c>
      <c r="L454" s="58" t="s">
        <v>741</v>
      </c>
      <c r="M454" s="60"/>
      <c r="N454" s="65">
        <v>46244</v>
      </c>
      <c r="O454" s="60" t="s">
        <v>153</v>
      </c>
      <c r="P454" s="60"/>
      <c r="Q454" s="60" t="s">
        <v>82</v>
      </c>
      <c r="R454" s="60"/>
      <c r="S454" s="60" t="s">
        <v>1252</v>
      </c>
      <c r="T454" s="60"/>
      <c r="U454" s="61" t="s">
        <v>61</v>
      </c>
    </row>
    <row r="455" spans="1:21" ht="67.5">
      <c r="A455" s="60" t="s">
        <v>1502</v>
      </c>
      <c r="B455" s="60" t="s">
        <v>1503</v>
      </c>
      <c r="C455" s="61" t="s">
        <v>49</v>
      </c>
      <c r="D455" s="61" t="s">
        <v>1242</v>
      </c>
      <c r="E455" s="62" t="s">
        <v>1254</v>
      </c>
      <c r="F455" s="57" t="s">
        <v>618</v>
      </c>
      <c r="G455" s="60" t="s">
        <v>1504</v>
      </c>
      <c r="H455" s="60"/>
      <c r="I455" s="60"/>
      <c r="J455" s="58" t="s">
        <v>740</v>
      </c>
      <c r="K455" s="58" t="s">
        <v>54</v>
      </c>
      <c r="L455" s="58" t="s">
        <v>741</v>
      </c>
      <c r="M455" s="60"/>
      <c r="N455" s="65">
        <v>46244</v>
      </c>
      <c r="O455" s="60" t="s">
        <v>153</v>
      </c>
      <c r="P455" s="60"/>
      <c r="Q455" s="60" t="s">
        <v>82</v>
      </c>
      <c r="R455" s="60"/>
      <c r="S455" s="60" t="s">
        <v>1361</v>
      </c>
      <c r="T455" s="60"/>
      <c r="U455" s="61" t="s">
        <v>61</v>
      </c>
    </row>
    <row r="456" spans="1:21" ht="67.5">
      <c r="A456" s="60" t="s">
        <v>1505</v>
      </c>
      <c r="B456" s="60" t="s">
        <v>1506</v>
      </c>
      <c r="C456" s="61" t="s">
        <v>49</v>
      </c>
      <c r="D456" s="61" t="s">
        <v>1242</v>
      </c>
      <c r="E456" s="62" t="s">
        <v>19</v>
      </c>
      <c r="F456" s="57" t="s">
        <v>618</v>
      </c>
      <c r="G456" s="60" t="s">
        <v>1507</v>
      </c>
      <c r="H456" s="60"/>
      <c r="I456" s="60"/>
      <c r="J456" s="58" t="s">
        <v>740</v>
      </c>
      <c r="K456" s="58" t="s">
        <v>54</v>
      </c>
      <c r="L456" s="58" t="s">
        <v>741</v>
      </c>
      <c r="M456" s="60"/>
      <c r="N456" s="65">
        <v>46244</v>
      </c>
      <c r="O456" s="60" t="s">
        <v>153</v>
      </c>
      <c r="P456" s="60"/>
      <c r="Q456" s="60" t="s">
        <v>82</v>
      </c>
      <c r="R456" s="60"/>
      <c r="S456" s="60" t="s">
        <v>1421</v>
      </c>
      <c r="T456" s="60"/>
      <c r="U456" s="61" t="s">
        <v>61</v>
      </c>
    </row>
    <row r="457" spans="1:21" ht="67.5">
      <c r="A457" s="60" t="s">
        <v>1508</v>
      </c>
      <c r="B457" s="60" t="s">
        <v>1509</v>
      </c>
      <c r="C457" s="61" t="s">
        <v>49</v>
      </c>
      <c r="D457" s="61" t="s">
        <v>1242</v>
      </c>
      <c r="E457" s="62" t="s">
        <v>1254</v>
      </c>
      <c r="F457" s="57" t="s">
        <v>618</v>
      </c>
      <c r="G457" s="60" t="s">
        <v>1510</v>
      </c>
      <c r="H457" s="60"/>
      <c r="I457" s="60"/>
      <c r="J457" s="58" t="s">
        <v>740</v>
      </c>
      <c r="K457" s="58" t="s">
        <v>54</v>
      </c>
      <c r="L457" s="58" t="s">
        <v>741</v>
      </c>
      <c r="M457" s="60"/>
      <c r="N457" s="65">
        <v>46244</v>
      </c>
      <c r="O457" s="60" t="s">
        <v>153</v>
      </c>
      <c r="P457" s="60"/>
      <c r="Q457" s="60" t="s">
        <v>82</v>
      </c>
      <c r="R457" s="60"/>
      <c r="S457" s="60" t="s">
        <v>1442</v>
      </c>
      <c r="T457" s="60"/>
      <c r="U457" s="61" t="s">
        <v>61</v>
      </c>
    </row>
    <row r="458" spans="1:21" ht="67.5">
      <c r="A458" s="60" t="s">
        <v>1511</v>
      </c>
      <c r="B458" s="60" t="s">
        <v>1512</v>
      </c>
      <c r="C458" s="61" t="s">
        <v>49</v>
      </c>
      <c r="D458" s="61" t="s">
        <v>1242</v>
      </c>
      <c r="E458" s="62" t="s">
        <v>1254</v>
      </c>
      <c r="F458" s="57" t="s">
        <v>618</v>
      </c>
      <c r="G458" s="60" t="s">
        <v>1513</v>
      </c>
      <c r="H458" s="60"/>
      <c r="I458" s="60"/>
      <c r="J458" s="58" t="s">
        <v>740</v>
      </c>
      <c r="K458" s="58" t="s">
        <v>54</v>
      </c>
      <c r="L458" s="58" t="s">
        <v>741</v>
      </c>
      <c r="M458" s="60"/>
      <c r="N458" s="65">
        <v>46244</v>
      </c>
      <c r="O458" s="60" t="s">
        <v>153</v>
      </c>
      <c r="P458" s="60"/>
      <c r="Q458" s="60" t="s">
        <v>82</v>
      </c>
      <c r="R458" s="60"/>
      <c r="S458" s="60" t="s">
        <v>1505</v>
      </c>
      <c r="T458" s="60"/>
      <c r="U458" s="61" t="s">
        <v>61</v>
      </c>
    </row>
    <row r="459" spans="1:21" ht="54">
      <c r="A459" s="60" t="s">
        <v>1514</v>
      </c>
      <c r="B459" s="60" t="s">
        <v>1515</v>
      </c>
      <c r="C459" s="61" t="s">
        <v>49</v>
      </c>
      <c r="D459" s="61" t="s">
        <v>1242</v>
      </c>
      <c r="E459" s="62" t="s">
        <v>19</v>
      </c>
      <c r="F459" s="57" t="s">
        <v>618</v>
      </c>
      <c r="G459" s="60" t="s">
        <v>1516</v>
      </c>
      <c r="H459" s="60"/>
      <c r="I459" s="60"/>
      <c r="J459" s="58" t="s">
        <v>740</v>
      </c>
      <c r="K459" s="58" t="s">
        <v>54</v>
      </c>
      <c r="L459" s="58" t="s">
        <v>741</v>
      </c>
      <c r="M459" s="60"/>
      <c r="N459" s="65">
        <v>46244</v>
      </c>
      <c r="O459" s="60" t="s">
        <v>153</v>
      </c>
      <c r="P459" s="60"/>
      <c r="Q459" s="60" t="s">
        <v>82</v>
      </c>
      <c r="R459" s="60"/>
      <c r="S459" s="60" t="s">
        <v>1481</v>
      </c>
      <c r="T459" s="60"/>
      <c r="U459" s="61" t="s">
        <v>61</v>
      </c>
    </row>
    <row r="460" spans="1:21" ht="67.5">
      <c r="A460" s="60" t="s">
        <v>1517</v>
      </c>
      <c r="B460" s="60" t="s">
        <v>1518</v>
      </c>
      <c r="C460" s="61" t="s">
        <v>49</v>
      </c>
      <c r="D460" s="61" t="s">
        <v>1242</v>
      </c>
      <c r="E460" s="62" t="s">
        <v>19</v>
      </c>
      <c r="F460" s="57" t="s">
        <v>618</v>
      </c>
      <c r="G460" s="60" t="s">
        <v>1519</v>
      </c>
      <c r="H460" s="60"/>
      <c r="I460" s="60"/>
      <c r="J460" s="58" t="s">
        <v>740</v>
      </c>
      <c r="K460" s="58" t="s">
        <v>54</v>
      </c>
      <c r="L460" s="58" t="s">
        <v>741</v>
      </c>
      <c r="M460" s="60"/>
      <c r="N460" s="65">
        <v>46244</v>
      </c>
      <c r="O460" s="60" t="s">
        <v>153</v>
      </c>
      <c r="P460" s="60"/>
      <c r="Q460" s="60" t="s">
        <v>82</v>
      </c>
      <c r="R460" s="60"/>
      <c r="S460" s="60" t="s">
        <v>1499</v>
      </c>
      <c r="T460" s="60"/>
      <c r="U460" s="61" t="s">
        <v>61</v>
      </c>
    </row>
    <row r="461" spans="1:21" ht="54">
      <c r="A461" s="60" t="s">
        <v>1520</v>
      </c>
      <c r="B461" s="60" t="s">
        <v>1521</v>
      </c>
      <c r="C461" s="61" t="s">
        <v>49</v>
      </c>
      <c r="D461" s="61" t="s">
        <v>1242</v>
      </c>
      <c r="E461" s="62" t="s">
        <v>19</v>
      </c>
      <c r="F461" s="57" t="s">
        <v>618</v>
      </c>
      <c r="G461" s="60" t="s">
        <v>1522</v>
      </c>
      <c r="H461" s="60"/>
      <c r="I461" s="60"/>
      <c r="J461" s="58" t="s">
        <v>740</v>
      </c>
      <c r="K461" s="58" t="s">
        <v>54</v>
      </c>
      <c r="L461" s="58" t="s">
        <v>741</v>
      </c>
      <c r="M461" s="60"/>
      <c r="N461" s="65">
        <v>46245</v>
      </c>
      <c r="O461" s="60" t="s">
        <v>153</v>
      </c>
      <c r="P461" s="60"/>
      <c r="Q461" s="60" t="s">
        <v>82</v>
      </c>
      <c r="R461" s="60"/>
      <c r="S461" s="60" t="s">
        <v>1289</v>
      </c>
      <c r="T461" s="60"/>
      <c r="U461" s="61" t="s">
        <v>61</v>
      </c>
    </row>
    <row r="462" spans="1:21" ht="54">
      <c r="A462" s="60" t="s">
        <v>1523</v>
      </c>
      <c r="B462" s="60" t="s">
        <v>1524</v>
      </c>
      <c r="C462" s="61" t="s">
        <v>49</v>
      </c>
      <c r="D462" s="61" t="s">
        <v>1242</v>
      </c>
      <c r="E462" s="62" t="s">
        <v>21</v>
      </c>
      <c r="F462" s="57" t="s">
        <v>618</v>
      </c>
      <c r="G462" s="60" t="s">
        <v>1525</v>
      </c>
      <c r="H462" s="60"/>
      <c r="I462" s="60"/>
      <c r="J462" s="58" t="s">
        <v>740</v>
      </c>
      <c r="K462" s="58" t="s">
        <v>54</v>
      </c>
      <c r="L462" s="58" t="s">
        <v>741</v>
      </c>
      <c r="M462" s="60"/>
      <c r="N462" s="65">
        <v>46245</v>
      </c>
      <c r="O462" s="60" t="s">
        <v>153</v>
      </c>
      <c r="P462" s="60"/>
      <c r="Q462" s="60" t="s">
        <v>89</v>
      </c>
      <c r="R462" s="60"/>
      <c r="S462" s="60" t="s">
        <v>1340</v>
      </c>
      <c r="T462" s="60"/>
      <c r="U462" s="61" t="s">
        <v>61</v>
      </c>
    </row>
    <row r="463" spans="1:21" ht="81">
      <c r="A463" s="60" t="s">
        <v>1526</v>
      </c>
      <c r="B463" s="60" t="s">
        <v>1527</v>
      </c>
      <c r="C463" s="61" t="s">
        <v>49</v>
      </c>
      <c r="D463" s="61" t="s">
        <v>1242</v>
      </c>
      <c r="E463" s="62" t="s">
        <v>19</v>
      </c>
      <c r="F463" s="57" t="s">
        <v>618</v>
      </c>
      <c r="G463" s="60" t="s">
        <v>1528</v>
      </c>
      <c r="H463" s="60"/>
      <c r="I463" s="60"/>
      <c r="J463" s="58" t="s">
        <v>740</v>
      </c>
      <c r="K463" s="58" t="s">
        <v>54</v>
      </c>
      <c r="L463" s="58" t="s">
        <v>741</v>
      </c>
      <c r="M463" s="60"/>
      <c r="N463" s="65">
        <v>46245</v>
      </c>
      <c r="O463" s="60" t="s">
        <v>153</v>
      </c>
      <c r="P463" s="60"/>
      <c r="Q463" s="60" t="s">
        <v>82</v>
      </c>
      <c r="R463" s="60"/>
      <c r="S463" s="60" t="s">
        <v>1412</v>
      </c>
      <c r="T463" s="60"/>
      <c r="U463" s="61" t="s">
        <v>61</v>
      </c>
    </row>
    <row r="464" spans="1:21" ht="54">
      <c r="A464" s="60" t="s">
        <v>1529</v>
      </c>
      <c r="B464" s="60" t="s">
        <v>1530</v>
      </c>
      <c r="C464" s="61" t="s">
        <v>49</v>
      </c>
      <c r="D464" s="61" t="s">
        <v>1242</v>
      </c>
      <c r="E464" s="62" t="s">
        <v>19</v>
      </c>
      <c r="F464" s="57" t="s">
        <v>618</v>
      </c>
      <c r="G464" s="60" t="s">
        <v>1531</v>
      </c>
      <c r="H464" s="60"/>
      <c r="I464" s="60"/>
      <c r="J464" s="58" t="s">
        <v>740</v>
      </c>
      <c r="K464" s="58" t="s">
        <v>54</v>
      </c>
      <c r="L464" s="58" t="s">
        <v>741</v>
      </c>
      <c r="M464" s="60"/>
      <c r="N464" s="65">
        <v>46245</v>
      </c>
      <c r="O464" s="60" t="s">
        <v>153</v>
      </c>
      <c r="P464" s="60"/>
      <c r="Q464" s="60" t="s">
        <v>82</v>
      </c>
      <c r="R464" s="60"/>
      <c r="S464" s="60" t="s">
        <v>1412</v>
      </c>
      <c r="T464" s="60"/>
      <c r="U464" s="61" t="s">
        <v>61</v>
      </c>
    </row>
    <row r="465" spans="1:21" ht="67.5">
      <c r="A465" s="60" t="s">
        <v>1532</v>
      </c>
      <c r="B465" s="60" t="s">
        <v>1533</v>
      </c>
      <c r="C465" s="61" t="s">
        <v>49</v>
      </c>
      <c r="D465" s="61" t="s">
        <v>1242</v>
      </c>
      <c r="E465" s="62" t="s">
        <v>19</v>
      </c>
      <c r="F465" s="57" t="s">
        <v>618</v>
      </c>
      <c r="G465" s="60" t="s">
        <v>1534</v>
      </c>
      <c r="H465" s="60"/>
      <c r="I465" s="60"/>
      <c r="J465" s="58" t="s">
        <v>740</v>
      </c>
      <c r="K465" s="58" t="s">
        <v>54</v>
      </c>
      <c r="L465" s="58" t="s">
        <v>741</v>
      </c>
      <c r="M465" s="60"/>
      <c r="N465" s="65">
        <v>46245</v>
      </c>
      <c r="O465" s="60" t="s">
        <v>153</v>
      </c>
      <c r="P465" s="60"/>
      <c r="Q465" s="60" t="s">
        <v>82</v>
      </c>
      <c r="R465" s="60"/>
      <c r="S465" s="60" t="s">
        <v>1442</v>
      </c>
      <c r="T465" s="60"/>
      <c r="U465" s="61" t="s">
        <v>61</v>
      </c>
    </row>
    <row r="466" spans="1:21" ht="67.5">
      <c r="A466" s="60" t="s">
        <v>1535</v>
      </c>
      <c r="B466" s="60" t="s">
        <v>1536</v>
      </c>
      <c r="C466" s="61" t="s">
        <v>49</v>
      </c>
      <c r="D466" s="61" t="s">
        <v>1242</v>
      </c>
      <c r="E466" s="62" t="s">
        <v>19</v>
      </c>
      <c r="F466" s="57" t="s">
        <v>618</v>
      </c>
      <c r="G466" s="60" t="s">
        <v>1537</v>
      </c>
      <c r="H466" s="60"/>
      <c r="I466" s="60"/>
      <c r="J466" s="58" t="s">
        <v>740</v>
      </c>
      <c r="K466" s="58" t="s">
        <v>54</v>
      </c>
      <c r="L466" s="58" t="s">
        <v>741</v>
      </c>
      <c r="M466" s="60"/>
      <c r="N466" s="65">
        <v>46245</v>
      </c>
      <c r="O466" s="60" t="s">
        <v>153</v>
      </c>
      <c r="P466" s="60"/>
      <c r="Q466" s="60" t="s">
        <v>82</v>
      </c>
      <c r="R466" s="60"/>
      <c r="S466" s="60" t="s">
        <v>1256</v>
      </c>
      <c r="T466" s="60"/>
      <c r="U466" s="61" t="s">
        <v>743</v>
      </c>
    </row>
    <row r="467" spans="1:21" ht="54">
      <c r="A467" s="60" t="s">
        <v>1538</v>
      </c>
      <c r="B467" s="60" t="s">
        <v>1539</v>
      </c>
      <c r="C467" s="61" t="s">
        <v>49</v>
      </c>
      <c r="D467" s="61" t="s">
        <v>1242</v>
      </c>
      <c r="E467" s="62" t="s">
        <v>19</v>
      </c>
      <c r="F467" s="57" t="s">
        <v>618</v>
      </c>
      <c r="G467" s="60" t="s">
        <v>1540</v>
      </c>
      <c r="H467" s="60"/>
      <c r="I467" s="60"/>
      <c r="J467" s="58" t="s">
        <v>740</v>
      </c>
      <c r="K467" s="58" t="s">
        <v>54</v>
      </c>
      <c r="L467" s="58" t="s">
        <v>741</v>
      </c>
      <c r="M467" s="60"/>
      <c r="N467" s="65">
        <v>46245</v>
      </c>
      <c r="O467" s="60" t="s">
        <v>153</v>
      </c>
      <c r="P467" s="60"/>
      <c r="Q467" s="60" t="s">
        <v>82</v>
      </c>
      <c r="R467" s="60"/>
      <c r="S467" s="60" t="s">
        <v>1532</v>
      </c>
      <c r="T467" s="60"/>
      <c r="U467" s="61" t="s">
        <v>61</v>
      </c>
    </row>
    <row r="468" spans="1:21" ht="54">
      <c r="A468" s="60" t="s">
        <v>1541</v>
      </c>
      <c r="B468" s="60" t="s">
        <v>1542</v>
      </c>
      <c r="C468" s="61" t="s">
        <v>49</v>
      </c>
      <c r="D468" s="61" t="s">
        <v>1242</v>
      </c>
      <c r="E468" s="62" t="s">
        <v>19</v>
      </c>
      <c r="F468" s="57" t="s">
        <v>618</v>
      </c>
      <c r="G468" s="60" t="s">
        <v>1543</v>
      </c>
      <c r="H468" s="60"/>
      <c r="I468" s="60"/>
      <c r="J468" s="58" t="s">
        <v>740</v>
      </c>
      <c r="K468" s="58" t="s">
        <v>54</v>
      </c>
      <c r="L468" s="58" t="s">
        <v>741</v>
      </c>
      <c r="M468" s="60"/>
      <c r="N468" s="65">
        <v>46245</v>
      </c>
      <c r="O468" s="60" t="s">
        <v>153</v>
      </c>
      <c r="P468" s="60"/>
      <c r="Q468" s="60" t="s">
        <v>82</v>
      </c>
      <c r="R468" s="60"/>
      <c r="S468" s="60" t="s">
        <v>1412</v>
      </c>
      <c r="T468" s="60"/>
      <c r="U468" s="61" t="s">
        <v>61</v>
      </c>
    </row>
    <row r="469" spans="1:21" ht="33.6" thickBot="1">
      <c r="A469" s="68" t="s">
        <v>1544</v>
      </c>
      <c r="B469" s="68" t="s">
        <v>1545</v>
      </c>
      <c r="C469" s="61" t="s">
        <v>49</v>
      </c>
      <c r="D469" s="68" t="s">
        <v>1546</v>
      </c>
      <c r="E469" s="62" t="s">
        <v>19</v>
      </c>
      <c r="F469" s="57" t="s">
        <v>51</v>
      </c>
      <c r="G469" s="68" t="s">
        <v>1547</v>
      </c>
      <c r="H469" s="68"/>
      <c r="I469" s="68"/>
      <c r="J469" s="58" t="s">
        <v>465</v>
      </c>
      <c r="K469" s="58" t="s">
        <v>54</v>
      </c>
      <c r="L469" s="58" t="s">
        <v>288</v>
      </c>
      <c r="M469" s="68" t="s">
        <v>1548</v>
      </c>
      <c r="N469" s="68"/>
      <c r="O469" s="68" t="s">
        <v>103</v>
      </c>
      <c r="P469" s="68" t="s">
        <v>1549</v>
      </c>
      <c r="Q469" s="68" t="s">
        <v>89</v>
      </c>
      <c r="R469" s="68" t="s">
        <v>19</v>
      </c>
      <c r="S469" s="68" t="s">
        <v>1550</v>
      </c>
      <c r="T469" s="68" t="s">
        <v>60</v>
      </c>
      <c r="U469" s="68" t="s">
        <v>61</v>
      </c>
    </row>
    <row r="470" spans="1:21" ht="27.6" thickBot="1">
      <c r="A470" s="68" t="s">
        <v>1551</v>
      </c>
      <c r="B470" s="60" t="s">
        <v>63</v>
      </c>
      <c r="C470" s="61" t="s">
        <v>49</v>
      </c>
      <c r="D470" s="68" t="s">
        <v>1546</v>
      </c>
      <c r="E470" s="56" t="s">
        <v>21</v>
      </c>
      <c r="F470" s="57" t="s">
        <v>51</v>
      </c>
      <c r="G470" s="60" t="s">
        <v>64</v>
      </c>
      <c r="H470" s="60"/>
      <c r="I470" s="60"/>
      <c r="J470" s="58" t="s">
        <v>465</v>
      </c>
      <c r="K470" s="58" t="s">
        <v>466</v>
      </c>
      <c r="L470" s="58" t="s">
        <v>288</v>
      </c>
      <c r="M470" s="60" t="s">
        <v>56</v>
      </c>
      <c r="N470" s="64"/>
      <c r="O470" s="60" t="s">
        <v>65</v>
      </c>
      <c r="P470" s="60" t="s">
        <v>1552</v>
      </c>
      <c r="Q470" s="60" t="s">
        <v>59</v>
      </c>
      <c r="R470" s="60" t="s">
        <v>19</v>
      </c>
      <c r="S470" s="60"/>
      <c r="T470" s="60" t="s">
        <v>60</v>
      </c>
      <c r="U470" s="61" t="s">
        <v>61</v>
      </c>
    </row>
    <row r="471" spans="1:21" ht="33.6" thickBot="1">
      <c r="A471" s="68" t="s">
        <v>1553</v>
      </c>
      <c r="B471" s="68" t="s">
        <v>1554</v>
      </c>
      <c r="C471" s="61" t="s">
        <v>49</v>
      </c>
      <c r="D471" s="68" t="s">
        <v>1546</v>
      </c>
      <c r="E471" s="62" t="s">
        <v>19</v>
      </c>
      <c r="F471" s="57" t="s">
        <v>51</v>
      </c>
      <c r="G471" s="68" t="s">
        <v>1555</v>
      </c>
      <c r="H471" s="68"/>
      <c r="I471" s="68"/>
      <c r="J471" s="58" t="s">
        <v>465</v>
      </c>
      <c r="K471" s="58" t="s">
        <v>54</v>
      </c>
      <c r="L471" s="58" t="s">
        <v>288</v>
      </c>
      <c r="M471" s="68" t="s">
        <v>1556</v>
      </c>
      <c r="N471" s="68"/>
      <c r="O471" s="68" t="s">
        <v>232</v>
      </c>
      <c r="P471" s="68" t="s">
        <v>1557</v>
      </c>
      <c r="Q471" s="68" t="s">
        <v>59</v>
      </c>
      <c r="R471" s="68" t="s">
        <v>21</v>
      </c>
      <c r="S471" s="68" t="s">
        <v>1558</v>
      </c>
      <c r="T471" s="68" t="s">
        <v>60</v>
      </c>
      <c r="U471" s="68" t="s">
        <v>61</v>
      </c>
    </row>
    <row r="472" spans="1:21" ht="33.6" thickBot="1">
      <c r="A472" s="68" t="s">
        <v>1559</v>
      </c>
      <c r="B472" s="68" t="s">
        <v>1560</v>
      </c>
      <c r="C472" s="61" t="s">
        <v>49</v>
      </c>
      <c r="D472" s="68" t="s">
        <v>1546</v>
      </c>
      <c r="E472" s="62" t="s">
        <v>19</v>
      </c>
      <c r="F472" s="57" t="s">
        <v>51</v>
      </c>
      <c r="G472" s="68" t="s">
        <v>1561</v>
      </c>
      <c r="H472" s="68"/>
      <c r="I472" s="68"/>
      <c r="J472" s="58" t="s">
        <v>465</v>
      </c>
      <c r="K472" s="58" t="s">
        <v>54</v>
      </c>
      <c r="L472" s="58" t="s">
        <v>288</v>
      </c>
      <c r="M472" s="68" t="s">
        <v>1562</v>
      </c>
      <c r="N472" s="68"/>
      <c r="O472" s="68" t="s">
        <v>108</v>
      </c>
      <c r="P472" s="68" t="s">
        <v>1563</v>
      </c>
      <c r="Q472" s="68" t="s">
        <v>82</v>
      </c>
      <c r="R472" s="68" t="s">
        <v>19</v>
      </c>
      <c r="S472" s="68" t="s">
        <v>1558</v>
      </c>
      <c r="T472" s="68" t="s">
        <v>60</v>
      </c>
      <c r="U472" s="68" t="s">
        <v>61</v>
      </c>
    </row>
    <row r="473" spans="1:21" ht="33.6" thickBot="1">
      <c r="A473" s="68" t="s">
        <v>1564</v>
      </c>
      <c r="B473" s="68" t="s">
        <v>1565</v>
      </c>
      <c r="C473" s="61" t="s">
        <v>49</v>
      </c>
      <c r="D473" s="68" t="s">
        <v>1546</v>
      </c>
      <c r="E473" s="62" t="s">
        <v>19</v>
      </c>
      <c r="F473" s="57" t="s">
        <v>51</v>
      </c>
      <c r="G473" s="68" t="s">
        <v>1566</v>
      </c>
      <c r="H473" s="68"/>
      <c r="I473" s="68"/>
      <c r="J473" s="58" t="s">
        <v>465</v>
      </c>
      <c r="K473" s="58" t="s">
        <v>54</v>
      </c>
      <c r="L473" s="58" t="s">
        <v>288</v>
      </c>
      <c r="M473" s="68" t="s">
        <v>1567</v>
      </c>
      <c r="N473" s="68"/>
      <c r="O473" s="68" t="s">
        <v>93</v>
      </c>
      <c r="P473" s="68" t="s">
        <v>1568</v>
      </c>
      <c r="Q473" s="68" t="s">
        <v>82</v>
      </c>
      <c r="R473" s="68" t="s">
        <v>19</v>
      </c>
      <c r="S473" s="68" t="s">
        <v>1558</v>
      </c>
      <c r="T473" s="68" t="s">
        <v>60</v>
      </c>
      <c r="U473" s="68" t="s">
        <v>61</v>
      </c>
    </row>
    <row r="474" spans="1:21" ht="33.6" thickBot="1">
      <c r="A474" s="68" t="s">
        <v>1569</v>
      </c>
      <c r="B474" s="68" t="s">
        <v>1570</v>
      </c>
      <c r="C474" s="61" t="s">
        <v>49</v>
      </c>
      <c r="D474" s="68" t="s">
        <v>1546</v>
      </c>
      <c r="E474" s="62" t="s">
        <v>19</v>
      </c>
      <c r="F474" s="57" t="s">
        <v>51</v>
      </c>
      <c r="G474" s="68" t="s">
        <v>1571</v>
      </c>
      <c r="H474" s="68"/>
      <c r="I474" s="68"/>
      <c r="J474" s="58" t="s">
        <v>465</v>
      </c>
      <c r="K474" s="58" t="s">
        <v>54</v>
      </c>
      <c r="L474" s="58" t="s">
        <v>288</v>
      </c>
      <c r="M474" s="68" t="s">
        <v>1572</v>
      </c>
      <c r="N474" s="68"/>
      <c r="O474" s="68" t="s">
        <v>117</v>
      </c>
      <c r="P474" s="68" t="s">
        <v>1573</v>
      </c>
      <c r="Q474" s="68" t="s">
        <v>59</v>
      </c>
      <c r="R474" s="68" t="s">
        <v>21</v>
      </c>
      <c r="S474" s="68" t="s">
        <v>1558</v>
      </c>
      <c r="T474" s="68" t="s">
        <v>60</v>
      </c>
      <c r="U474" s="68" t="s">
        <v>61</v>
      </c>
    </row>
    <row r="475" spans="1:21" ht="33.6" thickBot="1">
      <c r="A475" s="68" t="s">
        <v>1574</v>
      </c>
      <c r="B475" s="68" t="s">
        <v>1575</v>
      </c>
      <c r="C475" s="61" t="s">
        <v>49</v>
      </c>
      <c r="D475" s="68" t="s">
        <v>1546</v>
      </c>
      <c r="E475" s="62" t="s">
        <v>19</v>
      </c>
      <c r="F475" s="57" t="s">
        <v>51</v>
      </c>
      <c r="G475" s="68" t="s">
        <v>1576</v>
      </c>
      <c r="H475" s="68"/>
      <c r="I475" s="68"/>
      <c r="J475" s="58" t="s">
        <v>465</v>
      </c>
      <c r="K475" s="58" t="s">
        <v>54</v>
      </c>
      <c r="L475" s="58" t="s">
        <v>288</v>
      </c>
      <c r="M475" s="68" t="s">
        <v>1577</v>
      </c>
      <c r="N475" s="68"/>
      <c r="O475" s="68" t="s">
        <v>87</v>
      </c>
      <c r="P475" s="68" t="s">
        <v>1578</v>
      </c>
      <c r="Q475" s="68" t="s">
        <v>89</v>
      </c>
      <c r="R475" s="68" t="s">
        <v>19</v>
      </c>
      <c r="S475" s="68" t="s">
        <v>1558</v>
      </c>
      <c r="T475" s="68" t="s">
        <v>60</v>
      </c>
      <c r="U475" s="68" t="s">
        <v>61</v>
      </c>
    </row>
    <row r="476" spans="1:21" ht="33.6" thickBot="1">
      <c r="A476" s="68" t="s">
        <v>1579</v>
      </c>
      <c r="B476" s="68" t="s">
        <v>1580</v>
      </c>
      <c r="C476" s="61" t="s">
        <v>49</v>
      </c>
      <c r="D476" s="68" t="s">
        <v>1546</v>
      </c>
      <c r="E476" s="62" t="s">
        <v>19</v>
      </c>
      <c r="F476" s="57" t="s">
        <v>51</v>
      </c>
      <c r="G476" s="68" t="s">
        <v>1581</v>
      </c>
      <c r="H476" s="68"/>
      <c r="I476" s="68"/>
      <c r="J476" s="58" t="s">
        <v>465</v>
      </c>
      <c r="K476" s="58" t="s">
        <v>54</v>
      </c>
      <c r="L476" s="58" t="s">
        <v>288</v>
      </c>
      <c r="M476" s="68" t="s">
        <v>1582</v>
      </c>
      <c r="N476" s="68"/>
      <c r="O476" s="68" t="s">
        <v>123</v>
      </c>
      <c r="P476" s="68" t="s">
        <v>1583</v>
      </c>
      <c r="Q476" s="68" t="s">
        <v>82</v>
      </c>
      <c r="R476" s="68" t="s">
        <v>21</v>
      </c>
      <c r="S476" s="68" t="s">
        <v>1584</v>
      </c>
      <c r="T476" s="68" t="s">
        <v>60</v>
      </c>
      <c r="U476" s="68" t="s">
        <v>61</v>
      </c>
    </row>
    <row r="477" spans="1:21" ht="33.6" thickBot="1">
      <c r="A477" s="68" t="s">
        <v>1585</v>
      </c>
      <c r="B477" s="68" t="s">
        <v>1586</v>
      </c>
      <c r="C477" s="61" t="s">
        <v>49</v>
      </c>
      <c r="D477" s="68" t="s">
        <v>1546</v>
      </c>
      <c r="E477" s="62" t="s">
        <v>19</v>
      </c>
      <c r="F477" s="57" t="s">
        <v>51</v>
      </c>
      <c r="G477" s="68" t="s">
        <v>1587</v>
      </c>
      <c r="H477" s="68"/>
      <c r="I477" s="68"/>
      <c r="J477" s="58" t="s">
        <v>465</v>
      </c>
      <c r="K477" s="58" t="s">
        <v>54</v>
      </c>
      <c r="L477" s="58" t="s">
        <v>288</v>
      </c>
      <c r="M477" s="68" t="s">
        <v>1588</v>
      </c>
      <c r="N477" s="68"/>
      <c r="O477" s="68" t="s">
        <v>113</v>
      </c>
      <c r="P477" s="68" t="s">
        <v>1589</v>
      </c>
      <c r="Q477" s="68" t="s">
        <v>89</v>
      </c>
      <c r="R477" s="68" t="s">
        <v>19</v>
      </c>
      <c r="S477" s="68" t="s">
        <v>1550</v>
      </c>
      <c r="T477" s="68" t="s">
        <v>60</v>
      </c>
      <c r="U477" s="68" t="s">
        <v>61</v>
      </c>
    </row>
    <row r="478" spans="1:21" ht="33.6" thickBot="1">
      <c r="A478" s="68" t="s">
        <v>1550</v>
      </c>
      <c r="B478" s="68" t="s">
        <v>1590</v>
      </c>
      <c r="C478" s="61" t="s">
        <v>49</v>
      </c>
      <c r="D478" s="68" t="s">
        <v>1546</v>
      </c>
      <c r="E478" s="62" t="s">
        <v>19</v>
      </c>
      <c r="F478" s="57" t="s">
        <v>51</v>
      </c>
      <c r="G478" s="68" t="s">
        <v>1591</v>
      </c>
      <c r="H478" s="68"/>
      <c r="I478" s="68"/>
      <c r="J478" s="58" t="s">
        <v>465</v>
      </c>
      <c r="K478" s="58" t="s">
        <v>54</v>
      </c>
      <c r="L478" s="58" t="s">
        <v>288</v>
      </c>
      <c r="M478" s="68" t="s">
        <v>1592</v>
      </c>
      <c r="N478" s="68"/>
      <c r="O478" s="68" t="s">
        <v>103</v>
      </c>
      <c r="P478" s="68" t="s">
        <v>1593</v>
      </c>
      <c r="Q478" s="68" t="s">
        <v>82</v>
      </c>
      <c r="R478" s="68" t="s">
        <v>19</v>
      </c>
      <c r="S478" s="68" t="s">
        <v>1558</v>
      </c>
      <c r="T478" s="68" t="s">
        <v>119</v>
      </c>
      <c r="U478" s="68" t="s">
        <v>61</v>
      </c>
    </row>
    <row r="479" spans="1:21" ht="33.6" thickBot="1">
      <c r="A479" s="68" t="s">
        <v>1584</v>
      </c>
      <c r="B479" s="68" t="s">
        <v>1594</v>
      </c>
      <c r="C479" s="61" t="s">
        <v>49</v>
      </c>
      <c r="D479" s="68" t="s">
        <v>1546</v>
      </c>
      <c r="E479" s="62" t="s">
        <v>19</v>
      </c>
      <c r="F479" s="57" t="s">
        <v>51</v>
      </c>
      <c r="G479" s="68" t="s">
        <v>1595</v>
      </c>
      <c r="H479" s="68"/>
      <c r="I479" s="68"/>
      <c r="J479" s="58" t="s">
        <v>465</v>
      </c>
      <c r="K479" s="58" t="s">
        <v>54</v>
      </c>
      <c r="L479" s="58" t="s">
        <v>288</v>
      </c>
      <c r="M479" s="68" t="s">
        <v>1596</v>
      </c>
      <c r="N479" s="68"/>
      <c r="O479" s="68" t="s">
        <v>103</v>
      </c>
      <c r="P479" s="68" t="s">
        <v>1597</v>
      </c>
      <c r="Q479" s="68" t="s">
        <v>82</v>
      </c>
      <c r="R479" s="68" t="s">
        <v>19</v>
      </c>
      <c r="S479" s="68" t="s">
        <v>1558</v>
      </c>
      <c r="T479" s="68" t="s">
        <v>60</v>
      </c>
      <c r="U479" s="68" t="s">
        <v>61</v>
      </c>
    </row>
    <row r="480" spans="1:21" ht="33.6" thickBot="1">
      <c r="A480" s="68" t="s">
        <v>1598</v>
      </c>
      <c r="B480" s="68" t="s">
        <v>1599</v>
      </c>
      <c r="C480" s="61" t="s">
        <v>49</v>
      </c>
      <c r="D480" s="68" t="s">
        <v>1546</v>
      </c>
      <c r="E480" s="62" t="s">
        <v>19</v>
      </c>
      <c r="F480" s="57" t="s">
        <v>51</v>
      </c>
      <c r="G480" s="68" t="s">
        <v>1600</v>
      </c>
      <c r="H480" s="68"/>
      <c r="I480" s="68"/>
      <c r="J480" s="58" t="s">
        <v>465</v>
      </c>
      <c r="K480" s="58" t="s">
        <v>54</v>
      </c>
      <c r="L480" s="58" t="s">
        <v>288</v>
      </c>
      <c r="M480" s="68" t="s">
        <v>1601</v>
      </c>
      <c r="N480" s="68"/>
      <c r="O480" s="68" t="s">
        <v>117</v>
      </c>
      <c r="P480" s="68" t="s">
        <v>1602</v>
      </c>
      <c r="Q480" s="68" t="s">
        <v>82</v>
      </c>
      <c r="R480" s="68" t="s">
        <v>19</v>
      </c>
      <c r="S480" s="68" t="s">
        <v>1558</v>
      </c>
      <c r="T480" s="68" t="s">
        <v>60</v>
      </c>
      <c r="U480" s="68" t="s">
        <v>61</v>
      </c>
    </row>
    <row r="481" spans="1:21" ht="33.6" thickBot="1">
      <c r="A481" s="68" t="s">
        <v>1603</v>
      </c>
      <c r="B481" s="68" t="s">
        <v>1604</v>
      </c>
      <c r="C481" s="61" t="s">
        <v>49</v>
      </c>
      <c r="D481" s="68" t="s">
        <v>1546</v>
      </c>
      <c r="E481" s="62" t="s">
        <v>19</v>
      </c>
      <c r="F481" s="57" t="s">
        <v>51</v>
      </c>
      <c r="G481" s="68" t="s">
        <v>1605</v>
      </c>
      <c r="H481" s="68"/>
      <c r="I481" s="68"/>
      <c r="J481" s="58" t="s">
        <v>465</v>
      </c>
      <c r="K481" s="58" t="s">
        <v>54</v>
      </c>
      <c r="L481" s="58" t="s">
        <v>288</v>
      </c>
      <c r="M481" s="68" t="s">
        <v>1606</v>
      </c>
      <c r="N481" s="68"/>
      <c r="O481" s="68" t="s">
        <v>57</v>
      </c>
      <c r="P481" s="68" t="s">
        <v>1607</v>
      </c>
      <c r="Q481" s="68" t="s">
        <v>82</v>
      </c>
      <c r="R481" s="68" t="s">
        <v>19</v>
      </c>
      <c r="S481" s="68" t="s">
        <v>1550</v>
      </c>
      <c r="T481" s="68" t="s">
        <v>60</v>
      </c>
      <c r="U481" s="68" t="s">
        <v>61</v>
      </c>
    </row>
    <row r="482" spans="1:21" ht="33.6" thickBot="1">
      <c r="A482" s="68" t="s">
        <v>1608</v>
      </c>
      <c r="B482" s="68" t="s">
        <v>1609</v>
      </c>
      <c r="C482" s="61" t="s">
        <v>49</v>
      </c>
      <c r="D482" s="68" t="s">
        <v>1546</v>
      </c>
      <c r="E482" s="62" t="s">
        <v>19</v>
      </c>
      <c r="F482" s="57" t="s">
        <v>51</v>
      </c>
      <c r="G482" s="68" t="s">
        <v>1610</v>
      </c>
      <c r="H482" s="68"/>
      <c r="I482" s="68"/>
      <c r="J482" s="58" t="s">
        <v>465</v>
      </c>
      <c r="K482" s="58" t="s">
        <v>54</v>
      </c>
      <c r="L482" s="58" t="s">
        <v>288</v>
      </c>
      <c r="M482" s="68" t="s">
        <v>1611</v>
      </c>
      <c r="N482" s="68"/>
      <c r="O482" s="68" t="s">
        <v>153</v>
      </c>
      <c r="P482" s="68" t="s">
        <v>1612</v>
      </c>
      <c r="Q482" s="68" t="s">
        <v>82</v>
      </c>
      <c r="R482" s="68" t="s">
        <v>19</v>
      </c>
      <c r="S482" s="68" t="s">
        <v>1550</v>
      </c>
      <c r="T482" s="68" t="s">
        <v>60</v>
      </c>
      <c r="U482" s="68" t="s">
        <v>61</v>
      </c>
    </row>
    <row r="483" spans="1:21" ht="33.6" thickBot="1">
      <c r="A483" s="68" t="s">
        <v>1613</v>
      </c>
      <c r="B483" s="68" t="s">
        <v>1614</v>
      </c>
      <c r="C483" s="61" t="s">
        <v>49</v>
      </c>
      <c r="D483" s="68" t="s">
        <v>1546</v>
      </c>
      <c r="E483" s="62" t="s">
        <v>19</v>
      </c>
      <c r="F483" s="57" t="s">
        <v>51</v>
      </c>
      <c r="G483" s="68" t="s">
        <v>1615</v>
      </c>
      <c r="H483" s="68"/>
      <c r="I483" s="68"/>
      <c r="J483" s="58" t="s">
        <v>465</v>
      </c>
      <c r="K483" s="58" t="s">
        <v>54</v>
      </c>
      <c r="L483" s="58" t="s">
        <v>288</v>
      </c>
      <c r="M483" s="68" t="s">
        <v>1616</v>
      </c>
      <c r="N483" s="68"/>
      <c r="O483" s="68" t="s">
        <v>87</v>
      </c>
      <c r="P483" s="68" t="s">
        <v>1617</v>
      </c>
      <c r="Q483" s="68" t="s">
        <v>82</v>
      </c>
      <c r="R483" s="68" t="s">
        <v>19</v>
      </c>
      <c r="S483" s="68" t="s">
        <v>1550</v>
      </c>
      <c r="T483" s="68" t="s">
        <v>60</v>
      </c>
      <c r="U483" s="68" t="s">
        <v>61</v>
      </c>
    </row>
    <row r="484" spans="1:21" ht="33.6" thickBot="1">
      <c r="A484" s="68" t="s">
        <v>1618</v>
      </c>
      <c r="B484" s="68" t="s">
        <v>1619</v>
      </c>
      <c r="C484" s="61" t="s">
        <v>49</v>
      </c>
      <c r="D484" s="68" t="s">
        <v>1546</v>
      </c>
      <c r="E484" s="62" t="s">
        <v>19</v>
      </c>
      <c r="F484" s="57" t="s">
        <v>51</v>
      </c>
      <c r="G484" s="68" t="s">
        <v>1620</v>
      </c>
      <c r="H484" s="68"/>
      <c r="I484" s="68"/>
      <c r="J484" s="58" t="s">
        <v>465</v>
      </c>
      <c r="K484" s="58" t="s">
        <v>54</v>
      </c>
      <c r="L484" s="58" t="s">
        <v>288</v>
      </c>
      <c r="M484" s="68" t="s">
        <v>1621</v>
      </c>
      <c r="N484" s="68"/>
      <c r="O484" s="68" t="s">
        <v>103</v>
      </c>
      <c r="P484" s="68" t="s">
        <v>1622</v>
      </c>
      <c r="Q484" s="68" t="s">
        <v>82</v>
      </c>
      <c r="R484" s="68" t="s">
        <v>19</v>
      </c>
      <c r="S484" s="68" t="s">
        <v>1623</v>
      </c>
      <c r="T484" s="68" t="s">
        <v>60</v>
      </c>
      <c r="U484" s="68" t="s">
        <v>61</v>
      </c>
    </row>
    <row r="485" spans="1:21" ht="33.6" thickBot="1">
      <c r="A485" s="68" t="s">
        <v>1624</v>
      </c>
      <c r="B485" s="68" t="s">
        <v>1625</v>
      </c>
      <c r="C485" s="61" t="s">
        <v>49</v>
      </c>
      <c r="D485" s="68" t="s">
        <v>1546</v>
      </c>
      <c r="E485" s="62" t="s">
        <v>19</v>
      </c>
      <c r="F485" s="57" t="s">
        <v>51</v>
      </c>
      <c r="G485" s="68" t="s">
        <v>144</v>
      </c>
      <c r="H485" s="68"/>
      <c r="I485" s="68"/>
      <c r="J485" s="58" t="s">
        <v>465</v>
      </c>
      <c r="K485" s="58" t="s">
        <v>54</v>
      </c>
      <c r="L485" s="58" t="s">
        <v>288</v>
      </c>
      <c r="M485" s="68" t="s">
        <v>1626</v>
      </c>
      <c r="N485" s="68"/>
      <c r="O485" s="68" t="s">
        <v>166</v>
      </c>
      <c r="P485" s="68" t="s">
        <v>1627</v>
      </c>
      <c r="Q485" s="68" t="s">
        <v>82</v>
      </c>
      <c r="R485" s="68" t="s">
        <v>21</v>
      </c>
      <c r="S485" s="68" t="s">
        <v>1558</v>
      </c>
      <c r="T485" s="68" t="s">
        <v>60</v>
      </c>
      <c r="U485" s="68" t="s">
        <v>61</v>
      </c>
    </row>
    <row r="486" spans="1:21" ht="33.6" thickBot="1">
      <c r="A486" s="68" t="s">
        <v>1628</v>
      </c>
      <c r="B486" s="68" t="s">
        <v>1629</v>
      </c>
      <c r="C486" s="61" t="s">
        <v>49</v>
      </c>
      <c r="D486" s="68" t="s">
        <v>1546</v>
      </c>
      <c r="E486" s="62" t="s">
        <v>19</v>
      </c>
      <c r="F486" s="57" t="s">
        <v>51</v>
      </c>
      <c r="G486" s="68" t="s">
        <v>1630</v>
      </c>
      <c r="H486" s="68"/>
      <c r="I486" s="68"/>
      <c r="J486" s="58" t="s">
        <v>465</v>
      </c>
      <c r="K486" s="58" t="s">
        <v>54</v>
      </c>
      <c r="L486" s="58" t="s">
        <v>288</v>
      </c>
      <c r="M486" s="68" t="s">
        <v>1631</v>
      </c>
      <c r="N486" s="68"/>
      <c r="O486" s="68" t="s">
        <v>103</v>
      </c>
      <c r="P486" s="68" t="s">
        <v>1632</v>
      </c>
      <c r="Q486" s="68" t="s">
        <v>89</v>
      </c>
      <c r="R486" s="68" t="s">
        <v>19</v>
      </c>
      <c r="S486" s="68" t="s">
        <v>1550</v>
      </c>
      <c r="T486" s="68" t="s">
        <v>60</v>
      </c>
      <c r="U486" s="68" t="s">
        <v>61</v>
      </c>
    </row>
    <row r="487" spans="1:21" ht="33.6" thickBot="1">
      <c r="A487" s="68" t="s">
        <v>1633</v>
      </c>
      <c r="B487" s="68" t="s">
        <v>1634</v>
      </c>
      <c r="C487" s="61" t="s">
        <v>49</v>
      </c>
      <c r="D487" s="68" t="s">
        <v>1546</v>
      </c>
      <c r="E487" s="62" t="s">
        <v>19</v>
      </c>
      <c r="F487" s="57" t="s">
        <v>51</v>
      </c>
      <c r="G487" s="68" t="s">
        <v>1635</v>
      </c>
      <c r="H487" s="68"/>
      <c r="I487" s="68"/>
      <c r="J487" s="58" t="s">
        <v>465</v>
      </c>
      <c r="K487" s="58" t="s">
        <v>54</v>
      </c>
      <c r="L487" s="58" t="s">
        <v>288</v>
      </c>
      <c r="M487" s="68" t="s">
        <v>1636</v>
      </c>
      <c r="N487" s="68"/>
      <c r="O487" s="68" t="s">
        <v>93</v>
      </c>
      <c r="P487" s="68" t="s">
        <v>1637</v>
      </c>
      <c r="Q487" s="68" t="s">
        <v>82</v>
      </c>
      <c r="R487" s="68" t="s">
        <v>19</v>
      </c>
      <c r="S487" s="68" t="s">
        <v>1598</v>
      </c>
      <c r="T487" s="68" t="s">
        <v>83</v>
      </c>
      <c r="U487" s="68" t="s">
        <v>61</v>
      </c>
    </row>
    <row r="488" spans="1:21" ht="33.6" thickBot="1">
      <c r="A488" s="68" t="s">
        <v>1638</v>
      </c>
      <c r="B488" s="68" t="s">
        <v>1639</v>
      </c>
      <c r="C488" s="61" t="s">
        <v>49</v>
      </c>
      <c r="D488" s="68" t="s">
        <v>1546</v>
      </c>
      <c r="E488" s="62" t="s">
        <v>19</v>
      </c>
      <c r="F488" s="57" t="s">
        <v>51</v>
      </c>
      <c r="G488" s="68" t="s">
        <v>1640</v>
      </c>
      <c r="H488" s="68"/>
      <c r="I488" s="68"/>
      <c r="J488" s="58" t="s">
        <v>465</v>
      </c>
      <c r="K488" s="58" t="s">
        <v>54</v>
      </c>
      <c r="L488" s="58" t="s">
        <v>288</v>
      </c>
      <c r="M488" s="68" t="s">
        <v>1641</v>
      </c>
      <c r="N488" s="68"/>
      <c r="O488" s="68" t="s">
        <v>153</v>
      </c>
      <c r="P488" s="68" t="s">
        <v>1642</v>
      </c>
      <c r="Q488" s="68" t="s">
        <v>82</v>
      </c>
      <c r="R488" s="68" t="s">
        <v>19</v>
      </c>
      <c r="S488" s="68" t="s">
        <v>1603</v>
      </c>
      <c r="T488" s="68" t="s">
        <v>83</v>
      </c>
      <c r="U488" s="68" t="s">
        <v>61</v>
      </c>
    </row>
    <row r="489" spans="1:21" ht="33.6" thickBot="1">
      <c r="A489" s="68" t="s">
        <v>1623</v>
      </c>
      <c r="B489" s="68" t="s">
        <v>1643</v>
      </c>
      <c r="C489" s="61" t="s">
        <v>49</v>
      </c>
      <c r="D489" s="68" t="s">
        <v>1546</v>
      </c>
      <c r="E489" s="62" t="s">
        <v>19</v>
      </c>
      <c r="F489" s="57" t="s">
        <v>51</v>
      </c>
      <c r="G489" s="68" t="s">
        <v>1644</v>
      </c>
      <c r="H489" s="68"/>
      <c r="I489" s="68"/>
      <c r="J489" s="58" t="s">
        <v>465</v>
      </c>
      <c r="K489" s="58" t="s">
        <v>54</v>
      </c>
      <c r="L489" s="58" t="s">
        <v>288</v>
      </c>
      <c r="M489" s="68" t="s">
        <v>1645</v>
      </c>
      <c r="N489" s="68"/>
      <c r="O489" s="68" t="s">
        <v>166</v>
      </c>
      <c r="P489" s="68" t="s">
        <v>1646</v>
      </c>
      <c r="Q489" s="68" t="s">
        <v>82</v>
      </c>
      <c r="R489" s="68" t="s">
        <v>21</v>
      </c>
      <c r="S489" s="68" t="s">
        <v>1633</v>
      </c>
      <c r="T489" s="68" t="s">
        <v>83</v>
      </c>
      <c r="U489" s="68" t="s">
        <v>61</v>
      </c>
    </row>
    <row r="490" spans="1:21" ht="33.6" thickBot="1">
      <c r="A490" s="68" t="s">
        <v>1647</v>
      </c>
      <c r="B490" s="68" t="s">
        <v>1648</v>
      </c>
      <c r="C490" s="61" t="s">
        <v>49</v>
      </c>
      <c r="D490" s="68" t="s">
        <v>1546</v>
      </c>
      <c r="E490" s="62" t="s">
        <v>19</v>
      </c>
      <c r="F490" s="57" t="s">
        <v>51</v>
      </c>
      <c r="G490" s="68" t="s">
        <v>348</v>
      </c>
      <c r="H490" s="68"/>
      <c r="I490" s="68"/>
      <c r="J490" s="58" t="s">
        <v>465</v>
      </c>
      <c r="K490" s="58" t="s">
        <v>54</v>
      </c>
      <c r="L490" s="58" t="s">
        <v>288</v>
      </c>
      <c r="M490" s="68" t="s">
        <v>1649</v>
      </c>
      <c r="N490" s="68"/>
      <c r="O490" s="68" t="s">
        <v>117</v>
      </c>
      <c r="P490" s="68" t="s">
        <v>1650</v>
      </c>
      <c r="Q490" s="68" t="s">
        <v>89</v>
      </c>
      <c r="R490" s="68" t="s">
        <v>21</v>
      </c>
      <c r="S490" s="68" t="s">
        <v>1584</v>
      </c>
      <c r="T490" s="68" t="s">
        <v>60</v>
      </c>
      <c r="U490" s="68" t="s">
        <v>61</v>
      </c>
    </row>
    <row r="491" spans="1:21" ht="33.6" thickBot="1">
      <c r="A491" s="68" t="s">
        <v>1651</v>
      </c>
      <c r="B491" s="68" t="s">
        <v>1652</v>
      </c>
      <c r="C491" s="61" t="s">
        <v>49</v>
      </c>
      <c r="D491" s="68" t="s">
        <v>1546</v>
      </c>
      <c r="E491" s="62" t="s">
        <v>19</v>
      </c>
      <c r="F491" s="57" t="s">
        <v>51</v>
      </c>
      <c r="G491" s="68" t="s">
        <v>1653</v>
      </c>
      <c r="H491" s="68"/>
      <c r="I491" s="68"/>
      <c r="J491" s="58" t="s">
        <v>465</v>
      </c>
      <c r="K491" s="58" t="s">
        <v>54</v>
      </c>
      <c r="L491" s="58" t="s">
        <v>288</v>
      </c>
      <c r="M491" s="68" t="s">
        <v>1654</v>
      </c>
      <c r="N491" s="68"/>
      <c r="O491" s="68" t="s">
        <v>103</v>
      </c>
      <c r="P491" s="68" t="s">
        <v>1655</v>
      </c>
      <c r="Q491" s="68" t="s">
        <v>82</v>
      </c>
      <c r="R491" s="68" t="s">
        <v>19</v>
      </c>
      <c r="S491" s="68" t="s">
        <v>1603</v>
      </c>
      <c r="T491" s="68" t="s">
        <v>83</v>
      </c>
      <c r="U491" s="68" t="s">
        <v>61</v>
      </c>
    </row>
    <row r="492" spans="1:21" ht="33.6" thickBot="1">
      <c r="A492" s="68" t="s">
        <v>1656</v>
      </c>
      <c r="B492" s="68" t="s">
        <v>1657</v>
      </c>
      <c r="C492" s="61" t="s">
        <v>49</v>
      </c>
      <c r="D492" s="68" t="s">
        <v>1546</v>
      </c>
      <c r="E492" s="62" t="s">
        <v>19</v>
      </c>
      <c r="F492" s="57" t="s">
        <v>51</v>
      </c>
      <c r="G492" s="68" t="s">
        <v>1658</v>
      </c>
      <c r="H492" s="68"/>
      <c r="I492" s="68"/>
      <c r="J492" s="58" t="s">
        <v>465</v>
      </c>
      <c r="K492" s="58" t="s">
        <v>54</v>
      </c>
      <c r="L492" s="58" t="s">
        <v>288</v>
      </c>
      <c r="M492" s="68" t="s">
        <v>1659</v>
      </c>
      <c r="N492" s="68"/>
      <c r="O492" s="68" t="s">
        <v>103</v>
      </c>
      <c r="P492" s="68" t="s">
        <v>1660</v>
      </c>
      <c r="Q492" s="68" t="s">
        <v>82</v>
      </c>
      <c r="R492" s="68" t="s">
        <v>19</v>
      </c>
      <c r="S492" s="68" t="s">
        <v>1550</v>
      </c>
      <c r="T492" s="68" t="s">
        <v>60</v>
      </c>
      <c r="U492" s="68" t="s">
        <v>61</v>
      </c>
    </row>
    <row r="493" spans="1:21" ht="33.6" thickBot="1">
      <c r="A493" s="68" t="s">
        <v>1661</v>
      </c>
      <c r="B493" s="68" t="s">
        <v>1662</v>
      </c>
      <c r="C493" s="61" t="s">
        <v>49</v>
      </c>
      <c r="D493" s="68" t="s">
        <v>1546</v>
      </c>
      <c r="E493" s="62" t="s">
        <v>19</v>
      </c>
      <c r="F493" s="57" t="s">
        <v>51</v>
      </c>
      <c r="G493" s="68" t="s">
        <v>1663</v>
      </c>
      <c r="H493" s="68"/>
      <c r="I493" s="68"/>
      <c r="J493" s="58" t="s">
        <v>465</v>
      </c>
      <c r="K493" s="58" t="s">
        <v>54</v>
      </c>
      <c r="L493" s="58" t="s">
        <v>288</v>
      </c>
      <c r="M493" s="68" t="s">
        <v>1664</v>
      </c>
      <c r="N493" s="68"/>
      <c r="O493" s="68" t="s">
        <v>113</v>
      </c>
      <c r="P493" s="68" t="s">
        <v>1665</v>
      </c>
      <c r="Q493" s="68" t="s">
        <v>82</v>
      </c>
      <c r="R493" s="68" t="s">
        <v>21</v>
      </c>
      <c r="S493" s="68" t="s">
        <v>1624</v>
      </c>
      <c r="T493" s="68" t="s">
        <v>60</v>
      </c>
      <c r="U493" s="68" t="s">
        <v>61</v>
      </c>
    </row>
    <row r="494" spans="1:21" ht="33.6" thickBot="1">
      <c r="A494" s="68" t="s">
        <v>1666</v>
      </c>
      <c r="B494" s="68" t="s">
        <v>1667</v>
      </c>
      <c r="C494" s="61" t="s">
        <v>49</v>
      </c>
      <c r="D494" s="68" t="s">
        <v>1546</v>
      </c>
      <c r="E494" s="62" t="s">
        <v>19</v>
      </c>
      <c r="F494" s="57" t="s">
        <v>51</v>
      </c>
      <c r="G494" s="68" t="s">
        <v>1668</v>
      </c>
      <c r="H494" s="68"/>
      <c r="I494" s="68"/>
      <c r="J494" s="58" t="s">
        <v>465</v>
      </c>
      <c r="K494" s="58" t="s">
        <v>54</v>
      </c>
      <c r="L494" s="58" t="s">
        <v>288</v>
      </c>
      <c r="M494" s="68" t="s">
        <v>1669</v>
      </c>
      <c r="N494" s="68"/>
      <c r="O494" s="68" t="s">
        <v>98</v>
      </c>
      <c r="P494" s="68" t="s">
        <v>1670</v>
      </c>
      <c r="Q494" s="68" t="s">
        <v>82</v>
      </c>
      <c r="R494" s="68" t="s">
        <v>19</v>
      </c>
      <c r="S494" s="68" t="s">
        <v>1558</v>
      </c>
      <c r="T494" s="68" t="s">
        <v>119</v>
      </c>
      <c r="U494" s="68" t="s">
        <v>61</v>
      </c>
    </row>
    <row r="495" spans="1:21" ht="33.6" thickBot="1">
      <c r="A495" s="68" t="s">
        <v>1671</v>
      </c>
      <c r="B495" s="68" t="s">
        <v>1672</v>
      </c>
      <c r="C495" s="61" t="s">
        <v>49</v>
      </c>
      <c r="D495" s="68" t="s">
        <v>1546</v>
      </c>
      <c r="E495" s="62" t="s">
        <v>19</v>
      </c>
      <c r="F495" s="57" t="s">
        <v>51</v>
      </c>
      <c r="G495" s="68" t="s">
        <v>1673</v>
      </c>
      <c r="H495" s="68"/>
      <c r="I495" s="68"/>
      <c r="J495" s="58" t="s">
        <v>465</v>
      </c>
      <c r="K495" s="58" t="s">
        <v>54</v>
      </c>
      <c r="L495" s="58" t="s">
        <v>288</v>
      </c>
      <c r="M495" s="68" t="s">
        <v>1674</v>
      </c>
      <c r="N495" s="68"/>
      <c r="O495" s="68" t="s">
        <v>103</v>
      </c>
      <c r="P495" s="68" t="s">
        <v>1675</v>
      </c>
      <c r="Q495" s="68" t="s">
        <v>82</v>
      </c>
      <c r="R495" s="68" t="s">
        <v>19</v>
      </c>
      <c r="S495" s="68" t="s">
        <v>1558</v>
      </c>
      <c r="T495" s="68" t="s">
        <v>119</v>
      </c>
      <c r="U495" s="68" t="s">
        <v>61</v>
      </c>
    </row>
    <row r="496" spans="1:21" ht="33.6" thickBot="1">
      <c r="A496" s="68" t="s">
        <v>1676</v>
      </c>
      <c r="B496" s="68" t="s">
        <v>1677</v>
      </c>
      <c r="C496" s="61" t="s">
        <v>49</v>
      </c>
      <c r="D496" s="68" t="s">
        <v>1546</v>
      </c>
      <c r="E496" s="62" t="s">
        <v>19</v>
      </c>
      <c r="F496" s="57" t="s">
        <v>51</v>
      </c>
      <c r="G496" s="68" t="s">
        <v>1678</v>
      </c>
      <c r="H496" s="68"/>
      <c r="I496" s="68"/>
      <c r="J496" s="58" t="s">
        <v>465</v>
      </c>
      <c r="K496" s="58" t="s">
        <v>54</v>
      </c>
      <c r="L496" s="58" t="s">
        <v>288</v>
      </c>
      <c r="M496" s="68" t="s">
        <v>1679</v>
      </c>
      <c r="N496" s="68"/>
      <c r="O496" s="68" t="s">
        <v>113</v>
      </c>
      <c r="P496" s="68" t="s">
        <v>1680</v>
      </c>
      <c r="Q496" s="68" t="s">
        <v>82</v>
      </c>
      <c r="R496" s="68" t="s">
        <v>19</v>
      </c>
      <c r="S496" s="68" t="s">
        <v>1558</v>
      </c>
      <c r="T496" s="68" t="s">
        <v>119</v>
      </c>
      <c r="U496" s="68" t="s">
        <v>61</v>
      </c>
    </row>
    <row r="497" spans="1:21" ht="33.6" thickBot="1">
      <c r="A497" s="68" t="s">
        <v>1681</v>
      </c>
      <c r="B497" s="68" t="s">
        <v>1682</v>
      </c>
      <c r="C497" s="61" t="s">
        <v>49</v>
      </c>
      <c r="D497" s="68" t="s">
        <v>1546</v>
      </c>
      <c r="E497" s="62" t="s">
        <v>19</v>
      </c>
      <c r="F497" s="57" t="s">
        <v>51</v>
      </c>
      <c r="G497" s="68" t="s">
        <v>139</v>
      </c>
      <c r="H497" s="68"/>
      <c r="I497" s="68"/>
      <c r="J497" s="58" t="s">
        <v>465</v>
      </c>
      <c r="K497" s="58" t="s">
        <v>54</v>
      </c>
      <c r="L497" s="58" t="s">
        <v>288</v>
      </c>
      <c r="M497" s="68" t="s">
        <v>1683</v>
      </c>
      <c r="N497" s="68"/>
      <c r="O497" s="68" t="s">
        <v>93</v>
      </c>
      <c r="P497" s="68" t="s">
        <v>1684</v>
      </c>
      <c r="Q497" s="68" t="s">
        <v>82</v>
      </c>
      <c r="R497" s="68" t="s">
        <v>19</v>
      </c>
      <c r="S497" s="68" t="s">
        <v>1558</v>
      </c>
      <c r="T497" s="68" t="s">
        <v>141</v>
      </c>
      <c r="U497" s="68" t="s">
        <v>61</v>
      </c>
    </row>
    <row r="498" spans="1:21" ht="33.6" thickBot="1">
      <c r="A498" s="68" t="s">
        <v>1685</v>
      </c>
      <c r="B498" s="68" t="s">
        <v>1686</v>
      </c>
      <c r="C498" s="61" t="s">
        <v>49</v>
      </c>
      <c r="D498" s="68" t="s">
        <v>1546</v>
      </c>
      <c r="E498" s="62" t="s">
        <v>19</v>
      </c>
      <c r="F498" s="57" t="s">
        <v>51</v>
      </c>
      <c r="G498" s="68" t="s">
        <v>1687</v>
      </c>
      <c r="H498" s="68"/>
      <c r="I498" s="68"/>
      <c r="J498" s="58" t="s">
        <v>465</v>
      </c>
      <c r="K498" s="58" t="s">
        <v>54</v>
      </c>
      <c r="L498" s="58" t="s">
        <v>288</v>
      </c>
      <c r="M498" s="68" t="s">
        <v>1688</v>
      </c>
      <c r="N498" s="68"/>
      <c r="O498" s="68" t="s">
        <v>108</v>
      </c>
      <c r="P498" s="68" t="s">
        <v>1689</v>
      </c>
      <c r="Q498" s="68" t="s">
        <v>82</v>
      </c>
      <c r="R498" s="68" t="s">
        <v>19</v>
      </c>
      <c r="S498" s="68" t="s">
        <v>1553</v>
      </c>
      <c r="T498" s="68" t="s">
        <v>141</v>
      </c>
      <c r="U498" s="68" t="s">
        <v>61</v>
      </c>
    </row>
    <row r="499" spans="1:21" ht="33.6" thickBot="1">
      <c r="A499" s="68" t="s">
        <v>1690</v>
      </c>
      <c r="B499" s="68" t="s">
        <v>1691</v>
      </c>
      <c r="C499" s="61" t="s">
        <v>49</v>
      </c>
      <c r="D499" s="68" t="s">
        <v>1546</v>
      </c>
      <c r="E499" s="62" t="s">
        <v>19</v>
      </c>
      <c r="F499" s="57" t="s">
        <v>51</v>
      </c>
      <c r="G499" s="68" t="s">
        <v>211</v>
      </c>
      <c r="H499" s="68"/>
      <c r="I499" s="68"/>
      <c r="J499" s="58" t="s">
        <v>465</v>
      </c>
      <c r="K499" s="58" t="s">
        <v>54</v>
      </c>
      <c r="L499" s="58" t="s">
        <v>288</v>
      </c>
      <c r="M499" s="68" t="s">
        <v>1692</v>
      </c>
      <c r="N499" s="68"/>
      <c r="O499" s="68" t="s">
        <v>87</v>
      </c>
      <c r="P499" s="68" t="s">
        <v>1693</v>
      </c>
      <c r="Q499" s="68" t="s">
        <v>82</v>
      </c>
      <c r="R499" s="68" t="s">
        <v>19</v>
      </c>
      <c r="S499" s="68" t="s">
        <v>1598</v>
      </c>
      <c r="T499" s="68" t="s">
        <v>141</v>
      </c>
      <c r="U499" s="68" t="s">
        <v>61</v>
      </c>
    </row>
    <row r="500" spans="1:21" ht="33.6" thickBot="1">
      <c r="A500" s="68" t="s">
        <v>1694</v>
      </c>
      <c r="B500" s="68" t="s">
        <v>1695</v>
      </c>
      <c r="C500" s="61" t="s">
        <v>49</v>
      </c>
      <c r="D500" s="68" t="s">
        <v>1546</v>
      </c>
      <c r="E500" s="62" t="s">
        <v>19</v>
      </c>
      <c r="F500" s="57" t="s">
        <v>51</v>
      </c>
      <c r="G500" s="68" t="s">
        <v>1696</v>
      </c>
      <c r="H500" s="68"/>
      <c r="I500" s="68"/>
      <c r="J500" s="58" t="s">
        <v>465</v>
      </c>
      <c r="K500" s="58" t="s">
        <v>54</v>
      </c>
      <c r="L500" s="58" t="s">
        <v>288</v>
      </c>
      <c r="M500" s="68" t="s">
        <v>1697</v>
      </c>
      <c r="N500" s="68"/>
      <c r="O500" s="68" t="s">
        <v>232</v>
      </c>
      <c r="P500" s="68" t="s">
        <v>1698</v>
      </c>
      <c r="Q500" s="68" t="s">
        <v>82</v>
      </c>
      <c r="R500" s="68" t="s">
        <v>19</v>
      </c>
      <c r="S500" s="68" t="s">
        <v>1550</v>
      </c>
      <c r="T500" s="68" t="s">
        <v>141</v>
      </c>
      <c r="U500" s="68" t="s">
        <v>61</v>
      </c>
    </row>
    <row r="501" spans="1:21" ht="33.6" thickBot="1">
      <c r="A501" s="68" t="s">
        <v>1699</v>
      </c>
      <c r="B501" s="68" t="s">
        <v>1700</v>
      </c>
      <c r="C501" s="61" t="s">
        <v>49</v>
      </c>
      <c r="D501" s="68" t="s">
        <v>1546</v>
      </c>
      <c r="E501" s="62" t="s">
        <v>19</v>
      </c>
      <c r="F501" s="57" t="s">
        <v>51</v>
      </c>
      <c r="G501" s="68" t="s">
        <v>459</v>
      </c>
      <c r="H501" s="68"/>
      <c r="I501" s="68"/>
      <c r="J501" s="58" t="s">
        <v>465</v>
      </c>
      <c r="K501" s="58" t="s">
        <v>54</v>
      </c>
      <c r="L501" s="58" t="s">
        <v>288</v>
      </c>
      <c r="M501" s="68" t="s">
        <v>1701</v>
      </c>
      <c r="N501" s="68"/>
      <c r="O501" s="68" t="s">
        <v>166</v>
      </c>
      <c r="P501" s="68" t="s">
        <v>1702</v>
      </c>
      <c r="Q501" s="68" t="s">
        <v>82</v>
      </c>
      <c r="R501" s="68" t="s">
        <v>21</v>
      </c>
      <c r="S501" s="68" t="s">
        <v>1550</v>
      </c>
      <c r="T501" s="68" t="s">
        <v>60</v>
      </c>
      <c r="U501" s="68" t="s">
        <v>61</v>
      </c>
    </row>
    <row r="502" spans="1:21" ht="33.6" thickBot="1">
      <c r="A502" s="68" t="s">
        <v>1703</v>
      </c>
      <c r="B502" s="68" t="s">
        <v>1704</v>
      </c>
      <c r="C502" s="61" t="s">
        <v>49</v>
      </c>
      <c r="D502" s="68" t="s">
        <v>1546</v>
      </c>
      <c r="E502" s="62" t="s">
        <v>19</v>
      </c>
      <c r="F502" s="57" t="s">
        <v>51</v>
      </c>
      <c r="G502" s="68" t="s">
        <v>1705</v>
      </c>
      <c r="H502" s="68"/>
      <c r="I502" s="68"/>
      <c r="J502" s="58" t="s">
        <v>465</v>
      </c>
      <c r="K502" s="58" t="s">
        <v>54</v>
      </c>
      <c r="L502" s="58" t="s">
        <v>288</v>
      </c>
      <c r="M502" s="68" t="s">
        <v>1706</v>
      </c>
      <c r="N502" s="68"/>
      <c r="O502" s="68" t="s">
        <v>166</v>
      </c>
      <c r="P502" s="68" t="s">
        <v>1707</v>
      </c>
      <c r="Q502" s="68" t="s">
        <v>82</v>
      </c>
      <c r="R502" s="68" t="s">
        <v>21</v>
      </c>
      <c r="S502" s="68" t="s">
        <v>1656</v>
      </c>
      <c r="T502" s="68" t="s">
        <v>60</v>
      </c>
      <c r="U502" s="68" t="s">
        <v>61</v>
      </c>
    </row>
    <row r="503" spans="1:21" ht="33.6" thickBot="1">
      <c r="A503" s="68" t="s">
        <v>1708</v>
      </c>
      <c r="B503" s="68" t="s">
        <v>1709</v>
      </c>
      <c r="C503" s="61" t="s">
        <v>49</v>
      </c>
      <c r="D503" s="68" t="s">
        <v>1546</v>
      </c>
      <c r="E503" s="62" t="s">
        <v>19</v>
      </c>
      <c r="F503" s="57" t="s">
        <v>51</v>
      </c>
      <c r="G503" s="68" t="s">
        <v>249</v>
      </c>
      <c r="H503" s="68"/>
      <c r="I503" s="68"/>
      <c r="J503" s="58" t="s">
        <v>465</v>
      </c>
      <c r="K503" s="58" t="s">
        <v>54</v>
      </c>
      <c r="L503" s="58" t="s">
        <v>288</v>
      </c>
      <c r="M503" s="68" t="s">
        <v>1710</v>
      </c>
      <c r="N503" s="68"/>
      <c r="O503" s="68" t="s">
        <v>103</v>
      </c>
      <c r="P503" s="68" t="s">
        <v>1711</v>
      </c>
      <c r="Q503" s="68" t="s">
        <v>82</v>
      </c>
      <c r="R503" s="68" t="s">
        <v>21</v>
      </c>
      <c r="S503" s="68" t="s">
        <v>1628</v>
      </c>
      <c r="T503" s="68" t="s">
        <v>119</v>
      </c>
      <c r="U503" s="68" t="s">
        <v>61</v>
      </c>
    </row>
    <row r="504" spans="1:21" ht="33.6" thickBot="1">
      <c r="A504" s="68" t="s">
        <v>1712</v>
      </c>
      <c r="B504" s="68" t="s">
        <v>1713</v>
      </c>
      <c r="C504" s="61" t="s">
        <v>49</v>
      </c>
      <c r="D504" s="68" t="s">
        <v>1546</v>
      </c>
      <c r="E504" s="62" t="s">
        <v>19</v>
      </c>
      <c r="F504" s="57" t="s">
        <v>51</v>
      </c>
      <c r="G504" s="68" t="s">
        <v>1714</v>
      </c>
      <c r="H504" s="68"/>
      <c r="I504" s="68"/>
      <c r="J504" s="58" t="s">
        <v>465</v>
      </c>
      <c r="K504" s="58" t="s">
        <v>54</v>
      </c>
      <c r="L504" s="58" t="s">
        <v>288</v>
      </c>
      <c r="M504" s="68" t="s">
        <v>1715</v>
      </c>
      <c r="N504" s="68"/>
      <c r="O504" s="68" t="s">
        <v>113</v>
      </c>
      <c r="P504" s="68" t="s">
        <v>1716</v>
      </c>
      <c r="Q504" s="68" t="s">
        <v>82</v>
      </c>
      <c r="R504" s="68" t="s">
        <v>19</v>
      </c>
      <c r="S504" s="68" t="s">
        <v>1628</v>
      </c>
      <c r="T504" s="68" t="s">
        <v>119</v>
      </c>
      <c r="U504" s="68" t="s">
        <v>61</v>
      </c>
    </row>
    <row r="505" spans="1:21" ht="33.6" thickBot="1">
      <c r="A505" s="68" t="s">
        <v>1717</v>
      </c>
      <c r="B505" s="68" t="s">
        <v>1718</v>
      </c>
      <c r="C505" s="61" t="s">
        <v>49</v>
      </c>
      <c r="D505" s="68" t="s">
        <v>1546</v>
      </c>
      <c r="E505" s="62" t="s">
        <v>19</v>
      </c>
      <c r="F505" s="57" t="s">
        <v>51</v>
      </c>
      <c r="G505" s="68" t="s">
        <v>1719</v>
      </c>
      <c r="H505" s="68"/>
      <c r="I505" s="68"/>
      <c r="J505" s="58" t="s">
        <v>465</v>
      </c>
      <c r="K505" s="58" t="s">
        <v>54</v>
      </c>
      <c r="L505" s="58" t="s">
        <v>288</v>
      </c>
      <c r="M505" s="68" t="s">
        <v>1720</v>
      </c>
      <c r="N505" s="68"/>
      <c r="O505" s="68" t="s">
        <v>103</v>
      </c>
      <c r="P505" s="68" t="s">
        <v>1721</v>
      </c>
      <c r="Q505" s="68" t="s">
        <v>82</v>
      </c>
      <c r="R505" s="68" t="s">
        <v>21</v>
      </c>
      <c r="S505" s="68" t="s">
        <v>1628</v>
      </c>
      <c r="T505" s="68" t="s">
        <v>119</v>
      </c>
      <c r="U505" s="68" t="s">
        <v>61</v>
      </c>
    </row>
    <row r="506" spans="1:21" ht="17.100000000000001" thickBot="1">
      <c r="A506" s="68" t="s">
        <v>1722</v>
      </c>
      <c r="B506" s="68" t="s">
        <v>1723</v>
      </c>
      <c r="C506" s="61" t="s">
        <v>49</v>
      </c>
      <c r="D506" s="68" t="s">
        <v>1546</v>
      </c>
      <c r="E506" s="62" t="s">
        <v>19</v>
      </c>
      <c r="F506" s="57" t="s">
        <v>51</v>
      </c>
      <c r="G506" s="68" t="s">
        <v>1724</v>
      </c>
      <c r="H506" s="68"/>
      <c r="I506" s="68"/>
      <c r="J506" s="58" t="s">
        <v>465</v>
      </c>
      <c r="K506" s="58" t="s">
        <v>54</v>
      </c>
      <c r="L506" s="58" t="s">
        <v>288</v>
      </c>
      <c r="M506" s="68" t="s">
        <v>1715</v>
      </c>
      <c r="N506" s="68"/>
      <c r="O506" s="68" t="s">
        <v>153</v>
      </c>
      <c r="P506" s="68" t="s">
        <v>1725</v>
      </c>
      <c r="Q506" s="68" t="s">
        <v>82</v>
      </c>
      <c r="R506" s="68" t="s">
        <v>19</v>
      </c>
      <c r="S506" s="68" t="s">
        <v>1628</v>
      </c>
      <c r="T506" s="68" t="s">
        <v>119</v>
      </c>
      <c r="U506" s="68" t="s">
        <v>61</v>
      </c>
    </row>
    <row r="507" spans="1:21" ht="17.100000000000001" thickBot="1">
      <c r="A507" s="68" t="s">
        <v>1726</v>
      </c>
      <c r="B507" s="68" t="s">
        <v>1727</v>
      </c>
      <c r="C507" s="61" t="s">
        <v>49</v>
      </c>
      <c r="D507" s="68" t="s">
        <v>1546</v>
      </c>
      <c r="E507" s="62" t="s">
        <v>19</v>
      </c>
      <c r="F507" s="57" t="s">
        <v>51</v>
      </c>
      <c r="G507" s="68" t="s">
        <v>1728</v>
      </c>
      <c r="H507" s="68"/>
      <c r="I507" s="68"/>
      <c r="J507" s="58" t="s">
        <v>465</v>
      </c>
      <c r="K507" s="58" t="s">
        <v>54</v>
      </c>
      <c r="L507" s="58" t="s">
        <v>288</v>
      </c>
      <c r="M507" s="68" t="s">
        <v>1669</v>
      </c>
      <c r="N507" s="68"/>
      <c r="O507" s="68" t="s">
        <v>117</v>
      </c>
      <c r="P507" s="68" t="s">
        <v>1729</v>
      </c>
      <c r="Q507" s="68" t="s">
        <v>82</v>
      </c>
      <c r="R507" s="68" t="s">
        <v>19</v>
      </c>
      <c r="S507" s="68" t="s">
        <v>1558</v>
      </c>
      <c r="T507" s="68" t="s">
        <v>119</v>
      </c>
      <c r="U507" s="68" t="s">
        <v>61</v>
      </c>
    </row>
    <row r="508" spans="1:21" ht="33.6" thickBot="1">
      <c r="A508" s="68" t="s">
        <v>1730</v>
      </c>
      <c r="B508" s="68" t="s">
        <v>1731</v>
      </c>
      <c r="C508" s="61" t="s">
        <v>49</v>
      </c>
      <c r="D508" s="68" t="s">
        <v>1546</v>
      </c>
      <c r="E508" s="62" t="s">
        <v>19</v>
      </c>
      <c r="F508" s="57" t="s">
        <v>51</v>
      </c>
      <c r="G508" s="68" t="s">
        <v>1732</v>
      </c>
      <c r="H508" s="68"/>
      <c r="I508" s="68"/>
      <c r="J508" s="58" t="s">
        <v>465</v>
      </c>
      <c r="K508" s="58" t="s">
        <v>54</v>
      </c>
      <c r="L508" s="58" t="s">
        <v>288</v>
      </c>
      <c r="M508" s="68" t="s">
        <v>228</v>
      </c>
      <c r="N508" s="68"/>
      <c r="O508" s="68" t="s">
        <v>98</v>
      </c>
      <c r="P508" s="68" t="s">
        <v>1589</v>
      </c>
      <c r="Q508" s="68" t="s">
        <v>82</v>
      </c>
      <c r="R508" s="68" t="s">
        <v>19</v>
      </c>
      <c r="S508" s="68" t="s">
        <v>1550</v>
      </c>
      <c r="T508" s="68" t="s">
        <v>141</v>
      </c>
      <c r="U508" s="68" t="s">
        <v>61</v>
      </c>
    </row>
    <row r="509" spans="1:21" ht="33.6" thickBot="1">
      <c r="A509" s="68" t="s">
        <v>1733</v>
      </c>
      <c r="B509" s="68" t="s">
        <v>1734</v>
      </c>
      <c r="C509" s="61" t="s">
        <v>49</v>
      </c>
      <c r="D509" s="68" t="s">
        <v>1546</v>
      </c>
      <c r="E509" s="62" t="s">
        <v>19</v>
      </c>
      <c r="F509" s="57" t="s">
        <v>51</v>
      </c>
      <c r="G509" s="68" t="s">
        <v>1735</v>
      </c>
      <c r="H509" s="68"/>
      <c r="I509" s="68"/>
      <c r="J509" s="58" t="s">
        <v>465</v>
      </c>
      <c r="K509" s="58" t="s">
        <v>54</v>
      </c>
      <c r="L509" s="58" t="s">
        <v>288</v>
      </c>
      <c r="M509" s="68" t="s">
        <v>1736</v>
      </c>
      <c r="N509" s="68"/>
      <c r="O509" s="68" t="s">
        <v>166</v>
      </c>
      <c r="P509" s="68" t="s">
        <v>1737</v>
      </c>
      <c r="Q509" s="68" t="s">
        <v>82</v>
      </c>
      <c r="R509" s="68" t="s">
        <v>19</v>
      </c>
      <c r="S509" s="68" t="s">
        <v>1558</v>
      </c>
      <c r="T509" s="68" t="s">
        <v>1738</v>
      </c>
      <c r="U509" s="68" t="s">
        <v>61</v>
      </c>
    </row>
    <row r="510" spans="1:21" ht="33.6" thickBot="1">
      <c r="A510" s="68" t="s">
        <v>1739</v>
      </c>
      <c r="B510" s="68" t="s">
        <v>1740</v>
      </c>
      <c r="C510" s="61" t="s">
        <v>49</v>
      </c>
      <c r="D510" s="68" t="s">
        <v>1546</v>
      </c>
      <c r="E510" s="62" t="s">
        <v>19</v>
      </c>
      <c r="F510" s="57" t="s">
        <v>51</v>
      </c>
      <c r="G510" s="68" t="s">
        <v>1741</v>
      </c>
      <c r="H510" s="68"/>
      <c r="I510" s="68"/>
      <c r="J510" s="58" t="s">
        <v>465</v>
      </c>
      <c r="K510" s="58" t="s">
        <v>54</v>
      </c>
      <c r="L510" s="58" t="s">
        <v>288</v>
      </c>
      <c r="M510" s="68" t="s">
        <v>1742</v>
      </c>
      <c r="N510" s="68"/>
      <c r="O510" s="68" t="s">
        <v>103</v>
      </c>
      <c r="P510" s="68" t="s">
        <v>1743</v>
      </c>
      <c r="Q510" s="68" t="s">
        <v>82</v>
      </c>
      <c r="R510" s="68" t="s">
        <v>19</v>
      </c>
      <c r="S510" s="68" t="s">
        <v>1598</v>
      </c>
      <c r="T510" s="68" t="s">
        <v>60</v>
      </c>
      <c r="U510" s="68" t="s">
        <v>61</v>
      </c>
    </row>
    <row r="511" spans="1:21" ht="17.100000000000001" thickBot="1">
      <c r="A511" s="68" t="s">
        <v>1744</v>
      </c>
      <c r="B511" s="68" t="s">
        <v>1745</v>
      </c>
      <c r="C511" s="61" t="s">
        <v>49</v>
      </c>
      <c r="D511" s="68" t="s">
        <v>1546</v>
      </c>
      <c r="E511" s="62" t="s">
        <v>19</v>
      </c>
      <c r="F511" s="57" t="s">
        <v>51</v>
      </c>
      <c r="G511" s="68" t="s">
        <v>1746</v>
      </c>
      <c r="H511" s="68"/>
      <c r="I511" s="68"/>
      <c r="J511" s="58" t="s">
        <v>465</v>
      </c>
      <c r="K511" s="58" t="s">
        <v>54</v>
      </c>
      <c r="L511" s="58" t="s">
        <v>288</v>
      </c>
      <c r="M511" s="68" t="s">
        <v>1747</v>
      </c>
      <c r="N511" s="68"/>
      <c r="O511" s="68" t="s">
        <v>153</v>
      </c>
      <c r="P511" s="68" t="s">
        <v>1748</v>
      </c>
      <c r="Q511" s="68" t="s">
        <v>82</v>
      </c>
      <c r="R511" s="68" t="s">
        <v>19</v>
      </c>
      <c r="S511" s="68" t="s">
        <v>1628</v>
      </c>
      <c r="T511" s="68" t="s">
        <v>83</v>
      </c>
      <c r="U511" s="68" t="s">
        <v>61</v>
      </c>
    </row>
    <row r="512" spans="1:21" ht="33.6" thickBot="1">
      <c r="A512" s="68" t="s">
        <v>1749</v>
      </c>
      <c r="B512" s="68" t="s">
        <v>1750</v>
      </c>
      <c r="C512" s="61" t="s">
        <v>49</v>
      </c>
      <c r="D512" s="68" t="s">
        <v>1546</v>
      </c>
      <c r="E512" s="62" t="s">
        <v>19</v>
      </c>
      <c r="F512" s="57" t="s">
        <v>51</v>
      </c>
      <c r="G512" s="68" t="s">
        <v>1751</v>
      </c>
      <c r="H512" s="68"/>
      <c r="I512" s="68"/>
      <c r="J512" s="58" t="s">
        <v>465</v>
      </c>
      <c r="K512" s="58" t="s">
        <v>54</v>
      </c>
      <c r="L512" s="58" t="s">
        <v>288</v>
      </c>
      <c r="M512" s="68" t="s">
        <v>1752</v>
      </c>
      <c r="N512" s="68"/>
      <c r="O512" s="68" t="s">
        <v>113</v>
      </c>
      <c r="P512" s="68" t="s">
        <v>1753</v>
      </c>
      <c r="Q512" s="68" t="s">
        <v>82</v>
      </c>
      <c r="R512" s="68" t="s">
        <v>21</v>
      </c>
      <c r="S512" s="68" t="s">
        <v>1651</v>
      </c>
      <c r="T512" s="68" t="s">
        <v>60</v>
      </c>
      <c r="U512" s="68" t="s">
        <v>61</v>
      </c>
    </row>
    <row r="513" spans="1:21" ht="33.6" thickBot="1">
      <c r="A513" s="68" t="s">
        <v>1754</v>
      </c>
      <c r="B513" s="68" t="s">
        <v>1755</v>
      </c>
      <c r="C513" s="61" t="s">
        <v>49</v>
      </c>
      <c r="D513" s="68" t="s">
        <v>1546</v>
      </c>
      <c r="E513" s="62" t="s">
        <v>19</v>
      </c>
      <c r="F513" s="57" t="s">
        <v>51</v>
      </c>
      <c r="G513" s="68" t="s">
        <v>1756</v>
      </c>
      <c r="H513" s="68"/>
      <c r="I513" s="68"/>
      <c r="J513" s="58" t="s">
        <v>465</v>
      </c>
      <c r="K513" s="58" t="s">
        <v>54</v>
      </c>
      <c r="L513" s="58" t="s">
        <v>288</v>
      </c>
      <c r="M513" s="68" t="s">
        <v>1757</v>
      </c>
      <c r="N513" s="68"/>
      <c r="O513" s="68" t="s">
        <v>103</v>
      </c>
      <c r="P513" s="68" t="s">
        <v>1758</v>
      </c>
      <c r="Q513" s="68" t="s">
        <v>82</v>
      </c>
      <c r="R513" s="68" t="s">
        <v>21</v>
      </c>
      <c r="S513" s="68" t="s">
        <v>1628</v>
      </c>
      <c r="T513" s="68" t="s">
        <v>83</v>
      </c>
      <c r="U513" s="68" t="s">
        <v>61</v>
      </c>
    </row>
    <row r="514" spans="1:21" ht="33.6" thickBot="1">
      <c r="A514" s="68" t="s">
        <v>1759</v>
      </c>
      <c r="B514" s="68" t="s">
        <v>1760</v>
      </c>
      <c r="C514" s="61" t="s">
        <v>49</v>
      </c>
      <c r="D514" s="68" t="s">
        <v>1546</v>
      </c>
      <c r="E514" s="62" t="s">
        <v>19</v>
      </c>
      <c r="F514" s="57" t="s">
        <v>51</v>
      </c>
      <c r="G514" s="68" t="s">
        <v>1761</v>
      </c>
      <c r="H514" s="68"/>
      <c r="I514" s="68"/>
      <c r="J514" s="58" t="s">
        <v>465</v>
      </c>
      <c r="K514" s="58" t="s">
        <v>54</v>
      </c>
      <c r="L514" s="58" t="s">
        <v>288</v>
      </c>
      <c r="M514" s="68" t="s">
        <v>1762</v>
      </c>
      <c r="N514" s="68"/>
      <c r="O514" s="68" t="s">
        <v>166</v>
      </c>
      <c r="P514" s="68" t="s">
        <v>1763</v>
      </c>
      <c r="Q514" s="68" t="s">
        <v>82</v>
      </c>
      <c r="R514" s="68" t="s">
        <v>21</v>
      </c>
      <c r="S514" s="68" t="s">
        <v>1574</v>
      </c>
      <c r="T514" s="68" t="s">
        <v>119</v>
      </c>
      <c r="U514" s="68" t="s">
        <v>61</v>
      </c>
    </row>
    <row r="515" spans="1:21" ht="17.100000000000001" thickBot="1">
      <c r="A515" s="68" t="s">
        <v>1764</v>
      </c>
      <c r="B515" s="68" t="s">
        <v>1765</v>
      </c>
      <c r="C515" s="61" t="s">
        <v>49</v>
      </c>
      <c r="D515" s="68" t="s">
        <v>1546</v>
      </c>
      <c r="E515" s="62" t="s">
        <v>19</v>
      </c>
      <c r="F515" s="57" t="s">
        <v>51</v>
      </c>
      <c r="G515" s="68" t="s">
        <v>236</v>
      </c>
      <c r="H515" s="68"/>
      <c r="I515" s="68"/>
      <c r="J515" s="58" t="s">
        <v>465</v>
      </c>
      <c r="K515" s="58" t="s">
        <v>54</v>
      </c>
      <c r="L515" s="58" t="s">
        <v>288</v>
      </c>
      <c r="M515" s="68" t="s">
        <v>1766</v>
      </c>
      <c r="N515" s="68"/>
      <c r="O515" s="68" t="s">
        <v>232</v>
      </c>
      <c r="P515" s="68" t="s">
        <v>1767</v>
      </c>
      <c r="Q515" s="68" t="s">
        <v>82</v>
      </c>
      <c r="R515" s="68" t="s">
        <v>21</v>
      </c>
      <c r="S515" s="68" t="s">
        <v>1633</v>
      </c>
      <c r="T515" s="68" t="s">
        <v>141</v>
      </c>
      <c r="U515" s="68" t="s">
        <v>61</v>
      </c>
    </row>
    <row r="516" spans="1:21" ht="17.100000000000001" thickBot="1">
      <c r="A516" s="68" t="s">
        <v>1768</v>
      </c>
      <c r="B516" s="68" t="s">
        <v>1769</v>
      </c>
      <c r="C516" s="61" t="s">
        <v>49</v>
      </c>
      <c r="D516" s="68" t="s">
        <v>1546</v>
      </c>
      <c r="E516" s="62" t="s">
        <v>19</v>
      </c>
      <c r="F516" s="57" t="s">
        <v>51</v>
      </c>
      <c r="G516" s="68" t="s">
        <v>1770</v>
      </c>
      <c r="H516" s="68"/>
      <c r="I516" s="68"/>
      <c r="J516" s="58" t="s">
        <v>465</v>
      </c>
      <c r="K516" s="58" t="s">
        <v>54</v>
      </c>
      <c r="L516" s="58" t="s">
        <v>288</v>
      </c>
      <c r="M516" s="68" t="s">
        <v>1771</v>
      </c>
      <c r="N516" s="68"/>
      <c r="O516" s="68" t="s">
        <v>153</v>
      </c>
      <c r="P516" s="68" t="s">
        <v>1772</v>
      </c>
      <c r="Q516" s="68" t="s">
        <v>82</v>
      </c>
      <c r="R516" s="68" t="s">
        <v>19</v>
      </c>
      <c r="S516" s="68" t="s">
        <v>1603</v>
      </c>
      <c r="T516" s="68" t="s">
        <v>60</v>
      </c>
      <c r="U516" s="68" t="s">
        <v>61</v>
      </c>
    </row>
    <row r="517" spans="1:21" ht="33.6" thickBot="1">
      <c r="A517" s="68" t="s">
        <v>1773</v>
      </c>
      <c r="B517" s="68" t="s">
        <v>1774</v>
      </c>
      <c r="C517" s="61" t="s">
        <v>49</v>
      </c>
      <c r="D517" s="68" t="s">
        <v>1546</v>
      </c>
      <c r="E517" s="62" t="s">
        <v>19</v>
      </c>
      <c r="F517" s="57" t="s">
        <v>51</v>
      </c>
      <c r="G517" s="68" t="s">
        <v>1696</v>
      </c>
      <c r="H517" s="68"/>
      <c r="I517" s="68"/>
      <c r="J517" s="58" t="s">
        <v>465</v>
      </c>
      <c r="K517" s="58" t="s">
        <v>54</v>
      </c>
      <c r="L517" s="58" t="s">
        <v>288</v>
      </c>
      <c r="M517" s="68" t="s">
        <v>1775</v>
      </c>
      <c r="N517" s="68"/>
      <c r="O517" s="68" t="s">
        <v>108</v>
      </c>
      <c r="P517" s="68" t="s">
        <v>1776</v>
      </c>
      <c r="Q517" s="68" t="s">
        <v>82</v>
      </c>
      <c r="R517" s="68" t="s">
        <v>19</v>
      </c>
      <c r="S517" s="68" t="s">
        <v>1553</v>
      </c>
      <c r="T517" s="68" t="s">
        <v>141</v>
      </c>
      <c r="U517" s="68" t="s">
        <v>61</v>
      </c>
    </row>
    <row r="518" spans="1:21" ht="33.6" thickBot="1">
      <c r="A518" s="68" t="s">
        <v>1777</v>
      </c>
      <c r="B518" s="68" t="s">
        <v>1778</v>
      </c>
      <c r="C518" s="61" t="s">
        <v>49</v>
      </c>
      <c r="D518" s="68" t="s">
        <v>1779</v>
      </c>
      <c r="E518" s="62" t="s">
        <v>19</v>
      </c>
      <c r="F518" s="57" t="s">
        <v>51</v>
      </c>
      <c r="G518" s="68" t="s">
        <v>1780</v>
      </c>
      <c r="H518" s="68"/>
      <c r="I518" s="68"/>
      <c r="J518" s="58" t="s">
        <v>465</v>
      </c>
      <c r="K518" s="58" t="s">
        <v>54</v>
      </c>
      <c r="L518" s="58" t="s">
        <v>288</v>
      </c>
      <c r="M518" s="68" t="s">
        <v>269</v>
      </c>
      <c r="N518" s="68"/>
      <c r="O518" s="68" t="s">
        <v>103</v>
      </c>
      <c r="P518" s="68" t="s">
        <v>1781</v>
      </c>
      <c r="Q518" s="68" t="s">
        <v>89</v>
      </c>
      <c r="R518" s="68" t="s">
        <v>19</v>
      </c>
      <c r="S518" s="68" t="s">
        <v>1782</v>
      </c>
      <c r="T518" s="68" t="s">
        <v>60</v>
      </c>
      <c r="U518" s="68" t="s">
        <v>61</v>
      </c>
    </row>
    <row r="519" spans="1:21" ht="27.6" thickBot="1">
      <c r="A519" s="68" t="s">
        <v>1783</v>
      </c>
      <c r="B519" s="60" t="s">
        <v>63</v>
      </c>
      <c r="C519" s="61" t="s">
        <v>49</v>
      </c>
      <c r="D519" s="68" t="s">
        <v>1546</v>
      </c>
      <c r="E519" s="56" t="s">
        <v>21</v>
      </c>
      <c r="F519" s="57" t="s">
        <v>51</v>
      </c>
      <c r="G519" s="60" t="s">
        <v>64</v>
      </c>
      <c r="H519" s="60"/>
      <c r="I519" s="60"/>
      <c r="J519" s="58" t="s">
        <v>465</v>
      </c>
      <c r="K519" s="58" t="s">
        <v>466</v>
      </c>
      <c r="L519" s="58" t="s">
        <v>288</v>
      </c>
      <c r="M519" s="60" t="s">
        <v>56</v>
      </c>
      <c r="N519" s="64"/>
      <c r="O519" s="60" t="s">
        <v>65</v>
      </c>
      <c r="P519" s="60" t="s">
        <v>1784</v>
      </c>
      <c r="Q519" s="60" t="s">
        <v>59</v>
      </c>
      <c r="R519" s="60" t="s">
        <v>19</v>
      </c>
      <c r="S519" s="60"/>
      <c r="T519" s="60" t="s">
        <v>60</v>
      </c>
      <c r="U519" s="61" t="s">
        <v>61</v>
      </c>
    </row>
    <row r="520" spans="1:21" ht="33.6" thickBot="1">
      <c r="A520" s="68" t="s">
        <v>1785</v>
      </c>
      <c r="B520" s="68" t="s">
        <v>1786</v>
      </c>
      <c r="C520" s="61" t="s">
        <v>49</v>
      </c>
      <c r="D520" s="68" t="s">
        <v>1779</v>
      </c>
      <c r="E520" s="62" t="s">
        <v>19</v>
      </c>
      <c r="F520" s="57" t="s">
        <v>51</v>
      </c>
      <c r="G520" s="68" t="s">
        <v>1787</v>
      </c>
      <c r="H520" s="68"/>
      <c r="I520" s="68"/>
      <c r="J520" s="58" t="s">
        <v>465</v>
      </c>
      <c r="K520" s="58" t="s">
        <v>54</v>
      </c>
      <c r="L520" s="58" t="s">
        <v>288</v>
      </c>
      <c r="M520" s="68" t="s">
        <v>1788</v>
      </c>
      <c r="N520" s="68"/>
      <c r="O520" s="68" t="s">
        <v>232</v>
      </c>
      <c r="P520" s="68" t="s">
        <v>1789</v>
      </c>
      <c r="Q520" s="68" t="s">
        <v>59</v>
      </c>
      <c r="R520" s="68" t="s">
        <v>21</v>
      </c>
      <c r="S520" s="68" t="s">
        <v>1558</v>
      </c>
      <c r="T520" s="68" t="s">
        <v>60</v>
      </c>
      <c r="U520" s="68" t="s">
        <v>61</v>
      </c>
    </row>
    <row r="521" spans="1:21" ht="33.6" thickBot="1">
      <c r="A521" s="68" t="s">
        <v>1790</v>
      </c>
      <c r="B521" s="68" t="s">
        <v>1791</v>
      </c>
      <c r="C521" s="61" t="s">
        <v>49</v>
      </c>
      <c r="D521" s="68" t="s">
        <v>1779</v>
      </c>
      <c r="E521" s="62" t="s">
        <v>19</v>
      </c>
      <c r="F521" s="57" t="s">
        <v>51</v>
      </c>
      <c r="G521" s="68" t="s">
        <v>1792</v>
      </c>
      <c r="H521" s="68"/>
      <c r="I521" s="68"/>
      <c r="J521" s="58" t="s">
        <v>465</v>
      </c>
      <c r="K521" s="58" t="s">
        <v>54</v>
      </c>
      <c r="L521" s="58" t="s">
        <v>288</v>
      </c>
      <c r="M521" s="68" t="s">
        <v>1793</v>
      </c>
      <c r="N521" s="68"/>
      <c r="O521" s="68" t="s">
        <v>108</v>
      </c>
      <c r="P521" s="68" t="s">
        <v>1794</v>
      </c>
      <c r="Q521" s="68" t="s">
        <v>82</v>
      </c>
      <c r="R521" s="68" t="s">
        <v>19</v>
      </c>
      <c r="S521" s="68" t="s">
        <v>1558</v>
      </c>
      <c r="T521" s="68" t="s">
        <v>60</v>
      </c>
      <c r="U521" s="68" t="s">
        <v>61</v>
      </c>
    </row>
    <row r="522" spans="1:21" ht="33.6" thickBot="1">
      <c r="A522" s="68" t="s">
        <v>1795</v>
      </c>
      <c r="B522" s="68" t="s">
        <v>1796</v>
      </c>
      <c r="C522" s="61" t="s">
        <v>49</v>
      </c>
      <c r="D522" s="68" t="s">
        <v>1779</v>
      </c>
      <c r="E522" s="62" t="s">
        <v>19</v>
      </c>
      <c r="F522" s="57" t="s">
        <v>51</v>
      </c>
      <c r="G522" s="68" t="s">
        <v>1797</v>
      </c>
      <c r="H522" s="68"/>
      <c r="I522" s="68"/>
      <c r="J522" s="58" t="s">
        <v>465</v>
      </c>
      <c r="K522" s="58" t="s">
        <v>54</v>
      </c>
      <c r="L522" s="58" t="s">
        <v>288</v>
      </c>
      <c r="M522" s="68" t="s">
        <v>1798</v>
      </c>
      <c r="N522" s="68"/>
      <c r="O522" s="68" t="s">
        <v>57</v>
      </c>
      <c r="P522" s="68" t="s">
        <v>1799</v>
      </c>
      <c r="Q522" s="68" t="s">
        <v>82</v>
      </c>
      <c r="R522" s="68" t="s">
        <v>19</v>
      </c>
      <c r="S522" s="68" t="s">
        <v>1558</v>
      </c>
      <c r="T522" s="68" t="s">
        <v>60</v>
      </c>
      <c r="U522" s="68" t="s">
        <v>61</v>
      </c>
    </row>
    <row r="523" spans="1:21" ht="17.100000000000001" thickBot="1">
      <c r="A523" s="68" t="s">
        <v>1800</v>
      </c>
      <c r="B523" s="68" t="s">
        <v>1801</v>
      </c>
      <c r="C523" s="61" t="s">
        <v>49</v>
      </c>
      <c r="D523" s="68" t="s">
        <v>1779</v>
      </c>
      <c r="E523" s="62" t="s">
        <v>19</v>
      </c>
      <c r="F523" s="57" t="s">
        <v>51</v>
      </c>
      <c r="G523" s="68" t="s">
        <v>1802</v>
      </c>
      <c r="H523" s="68"/>
      <c r="I523" s="68"/>
      <c r="J523" s="58" t="s">
        <v>465</v>
      </c>
      <c r="K523" s="58" t="s">
        <v>54</v>
      </c>
      <c r="L523" s="58" t="s">
        <v>288</v>
      </c>
      <c r="M523" s="68" t="s">
        <v>1803</v>
      </c>
      <c r="N523" s="68"/>
      <c r="O523" s="68" t="s">
        <v>117</v>
      </c>
      <c r="P523" s="68" t="s">
        <v>1589</v>
      </c>
      <c r="Q523" s="68" t="s">
        <v>89</v>
      </c>
      <c r="R523" s="68" t="s">
        <v>19</v>
      </c>
      <c r="S523" s="68" t="s">
        <v>1782</v>
      </c>
      <c r="T523" s="68" t="s">
        <v>60</v>
      </c>
      <c r="U523" s="68" t="s">
        <v>61</v>
      </c>
    </row>
    <row r="524" spans="1:21" ht="33.6" thickBot="1">
      <c r="A524" s="68" t="s">
        <v>1804</v>
      </c>
      <c r="B524" s="68" t="s">
        <v>1805</v>
      </c>
      <c r="C524" s="61" t="s">
        <v>49</v>
      </c>
      <c r="D524" s="68" t="s">
        <v>1779</v>
      </c>
      <c r="E524" s="62" t="s">
        <v>19</v>
      </c>
      <c r="F524" s="57" t="s">
        <v>51</v>
      </c>
      <c r="G524" s="68" t="s">
        <v>1806</v>
      </c>
      <c r="H524" s="68"/>
      <c r="I524" s="68"/>
      <c r="J524" s="58" t="s">
        <v>465</v>
      </c>
      <c r="K524" s="58" t="s">
        <v>54</v>
      </c>
      <c r="L524" s="58" t="s">
        <v>288</v>
      </c>
      <c r="M524" s="68" t="s">
        <v>1807</v>
      </c>
      <c r="N524" s="68"/>
      <c r="O524" s="68" t="s">
        <v>87</v>
      </c>
      <c r="P524" s="68" t="s">
        <v>1808</v>
      </c>
      <c r="Q524" s="68" t="s">
        <v>89</v>
      </c>
      <c r="R524" s="68" t="s">
        <v>19</v>
      </c>
      <c r="S524" s="68" t="s">
        <v>1782</v>
      </c>
      <c r="T524" s="68" t="s">
        <v>60</v>
      </c>
      <c r="U524" s="68" t="s">
        <v>61</v>
      </c>
    </row>
    <row r="525" spans="1:21" ht="33.6" thickBot="1">
      <c r="A525" s="68" t="s">
        <v>1809</v>
      </c>
      <c r="B525" s="68" t="s">
        <v>1810</v>
      </c>
      <c r="C525" s="61" t="s">
        <v>49</v>
      </c>
      <c r="D525" s="68" t="s">
        <v>1779</v>
      </c>
      <c r="E525" s="62" t="s">
        <v>19</v>
      </c>
      <c r="F525" s="57" t="s">
        <v>51</v>
      </c>
      <c r="G525" s="68" t="s">
        <v>305</v>
      </c>
      <c r="H525" s="68"/>
      <c r="I525" s="68"/>
      <c r="J525" s="58" t="s">
        <v>465</v>
      </c>
      <c r="K525" s="58" t="s">
        <v>54</v>
      </c>
      <c r="L525" s="58" t="s">
        <v>288</v>
      </c>
      <c r="M525" s="68" t="s">
        <v>1811</v>
      </c>
      <c r="N525" s="68"/>
      <c r="O525" s="68" t="s">
        <v>123</v>
      </c>
      <c r="P525" s="68" t="s">
        <v>1808</v>
      </c>
      <c r="Q525" s="68" t="s">
        <v>82</v>
      </c>
      <c r="R525" s="68" t="s">
        <v>21</v>
      </c>
      <c r="S525" s="68" t="s">
        <v>1812</v>
      </c>
      <c r="T525" s="68" t="s">
        <v>60</v>
      </c>
      <c r="U525" s="68" t="s">
        <v>61</v>
      </c>
    </row>
    <row r="526" spans="1:21" ht="33.6" thickBot="1">
      <c r="A526" s="68" t="s">
        <v>1813</v>
      </c>
      <c r="B526" s="68" t="s">
        <v>1814</v>
      </c>
      <c r="C526" s="61" t="s">
        <v>49</v>
      </c>
      <c r="D526" s="68" t="s">
        <v>1779</v>
      </c>
      <c r="E526" s="62" t="s">
        <v>19</v>
      </c>
      <c r="F526" s="57" t="s">
        <v>51</v>
      </c>
      <c r="G526" s="68" t="s">
        <v>1591</v>
      </c>
      <c r="H526" s="68"/>
      <c r="I526" s="68"/>
      <c r="J526" s="58" t="s">
        <v>465</v>
      </c>
      <c r="K526" s="58" t="s">
        <v>54</v>
      </c>
      <c r="L526" s="58" t="s">
        <v>288</v>
      </c>
      <c r="M526" s="68" t="s">
        <v>1592</v>
      </c>
      <c r="N526" s="68"/>
      <c r="O526" s="68" t="s">
        <v>103</v>
      </c>
      <c r="P526" s="68" t="s">
        <v>1675</v>
      </c>
      <c r="Q526" s="68" t="s">
        <v>82</v>
      </c>
      <c r="R526" s="68" t="s">
        <v>19</v>
      </c>
      <c r="S526" s="68" t="s">
        <v>1558</v>
      </c>
      <c r="T526" s="68" t="s">
        <v>119</v>
      </c>
      <c r="U526" s="68" t="s">
        <v>61</v>
      </c>
    </row>
    <row r="527" spans="1:21" ht="33.6" thickBot="1">
      <c r="A527" s="68" t="s">
        <v>1782</v>
      </c>
      <c r="B527" s="68" t="s">
        <v>1815</v>
      </c>
      <c r="C527" s="61" t="s">
        <v>49</v>
      </c>
      <c r="D527" s="68" t="s">
        <v>1779</v>
      </c>
      <c r="E527" s="62" t="s">
        <v>19</v>
      </c>
      <c r="F527" s="57" t="s">
        <v>51</v>
      </c>
      <c r="G527" s="68" t="s">
        <v>1816</v>
      </c>
      <c r="H527" s="68"/>
      <c r="I527" s="68"/>
      <c r="J527" s="58" t="s">
        <v>465</v>
      </c>
      <c r="K527" s="58" t="s">
        <v>54</v>
      </c>
      <c r="L527" s="58" t="s">
        <v>288</v>
      </c>
      <c r="M527" s="68" t="s">
        <v>1715</v>
      </c>
      <c r="N527" s="68"/>
      <c r="O527" s="68" t="s">
        <v>153</v>
      </c>
      <c r="P527" s="68" t="s">
        <v>1817</v>
      </c>
      <c r="Q527" s="68" t="s">
        <v>82</v>
      </c>
      <c r="R527" s="68" t="s">
        <v>19</v>
      </c>
      <c r="S527" s="68" t="s">
        <v>1818</v>
      </c>
      <c r="T527" s="68" t="s">
        <v>60</v>
      </c>
      <c r="U527" s="68" t="s">
        <v>61</v>
      </c>
    </row>
    <row r="528" spans="1:21" ht="33.6" thickBot="1">
      <c r="A528" s="68" t="s">
        <v>1812</v>
      </c>
      <c r="B528" s="68" t="s">
        <v>1819</v>
      </c>
      <c r="C528" s="61" t="s">
        <v>49</v>
      </c>
      <c r="D528" s="68" t="s">
        <v>1779</v>
      </c>
      <c r="E528" s="62" t="s">
        <v>19</v>
      </c>
      <c r="F528" s="57" t="s">
        <v>51</v>
      </c>
      <c r="G528" s="68" t="s">
        <v>328</v>
      </c>
      <c r="H528" s="68"/>
      <c r="I528" s="68"/>
      <c r="J528" s="58" t="s">
        <v>465</v>
      </c>
      <c r="K528" s="58" t="s">
        <v>54</v>
      </c>
      <c r="L528" s="58" t="s">
        <v>288</v>
      </c>
      <c r="M528" s="68" t="s">
        <v>1596</v>
      </c>
      <c r="N528" s="68"/>
      <c r="O528" s="68" t="s">
        <v>103</v>
      </c>
      <c r="P528" s="68" t="s">
        <v>1820</v>
      </c>
      <c r="Q528" s="68" t="s">
        <v>82</v>
      </c>
      <c r="R528" s="68" t="s">
        <v>19</v>
      </c>
      <c r="S528" s="68" t="s">
        <v>1558</v>
      </c>
      <c r="T528" s="68" t="s">
        <v>60</v>
      </c>
      <c r="U528" s="68" t="s">
        <v>61</v>
      </c>
    </row>
    <row r="529" spans="1:21" ht="33.6" thickBot="1">
      <c r="A529" s="68" t="s">
        <v>1821</v>
      </c>
      <c r="B529" s="68" t="s">
        <v>1822</v>
      </c>
      <c r="C529" s="61" t="s">
        <v>49</v>
      </c>
      <c r="D529" s="68" t="s">
        <v>1779</v>
      </c>
      <c r="E529" s="62" t="s">
        <v>19</v>
      </c>
      <c r="F529" s="57" t="s">
        <v>51</v>
      </c>
      <c r="G529" s="68" t="s">
        <v>1823</v>
      </c>
      <c r="H529" s="68"/>
      <c r="I529" s="68"/>
      <c r="J529" s="58" t="s">
        <v>465</v>
      </c>
      <c r="K529" s="58" t="s">
        <v>54</v>
      </c>
      <c r="L529" s="58" t="s">
        <v>288</v>
      </c>
      <c r="M529" s="68" t="s">
        <v>1824</v>
      </c>
      <c r="N529" s="68"/>
      <c r="O529" s="68" t="s">
        <v>93</v>
      </c>
      <c r="P529" s="68" t="s">
        <v>1825</v>
      </c>
      <c r="Q529" s="68" t="s">
        <v>82</v>
      </c>
      <c r="R529" s="68" t="s">
        <v>19</v>
      </c>
      <c r="S529" s="68" t="s">
        <v>1782</v>
      </c>
      <c r="T529" s="68" t="s">
        <v>60</v>
      </c>
      <c r="U529" s="68" t="s">
        <v>61</v>
      </c>
    </row>
    <row r="530" spans="1:21" ht="33.6" thickBot="1">
      <c r="A530" s="68" t="s">
        <v>1818</v>
      </c>
      <c r="B530" s="68" t="s">
        <v>1826</v>
      </c>
      <c r="C530" s="61" t="s">
        <v>49</v>
      </c>
      <c r="D530" s="68" t="s">
        <v>1779</v>
      </c>
      <c r="E530" s="62" t="s">
        <v>19</v>
      </c>
      <c r="F530" s="57" t="s">
        <v>51</v>
      </c>
      <c r="G530" s="68" t="s">
        <v>1827</v>
      </c>
      <c r="H530" s="68"/>
      <c r="I530" s="68"/>
      <c r="J530" s="58" t="s">
        <v>465</v>
      </c>
      <c r="K530" s="58" t="s">
        <v>54</v>
      </c>
      <c r="L530" s="58" t="s">
        <v>288</v>
      </c>
      <c r="M530" s="68" t="s">
        <v>1828</v>
      </c>
      <c r="N530" s="68"/>
      <c r="O530" s="68" t="s">
        <v>87</v>
      </c>
      <c r="P530" s="68" t="s">
        <v>1808</v>
      </c>
      <c r="Q530" s="68" t="s">
        <v>82</v>
      </c>
      <c r="R530" s="68" t="s">
        <v>19</v>
      </c>
      <c r="S530" s="68" t="s">
        <v>1782</v>
      </c>
      <c r="T530" s="68" t="s">
        <v>60</v>
      </c>
      <c r="U530" s="68" t="s">
        <v>61</v>
      </c>
    </row>
    <row r="531" spans="1:21" ht="17.100000000000001" thickBot="1">
      <c r="A531" s="68" t="s">
        <v>1829</v>
      </c>
      <c r="B531" s="68" t="s">
        <v>1830</v>
      </c>
      <c r="C531" s="61" t="s">
        <v>49</v>
      </c>
      <c r="D531" s="68" t="s">
        <v>1779</v>
      </c>
      <c r="E531" s="62" t="s">
        <v>19</v>
      </c>
      <c r="F531" s="57" t="s">
        <v>51</v>
      </c>
      <c r="G531" s="68" t="s">
        <v>1831</v>
      </c>
      <c r="H531" s="68"/>
      <c r="I531" s="68"/>
      <c r="J531" s="58" t="s">
        <v>465</v>
      </c>
      <c r="K531" s="58" t="s">
        <v>54</v>
      </c>
      <c r="L531" s="58" t="s">
        <v>288</v>
      </c>
      <c r="M531" s="68" t="s">
        <v>1832</v>
      </c>
      <c r="N531" s="68"/>
      <c r="O531" s="68" t="s">
        <v>153</v>
      </c>
      <c r="P531" s="68" t="s">
        <v>1833</v>
      </c>
      <c r="Q531" s="68" t="s">
        <v>82</v>
      </c>
      <c r="R531" s="68" t="s">
        <v>19</v>
      </c>
      <c r="S531" s="68" t="s">
        <v>1782</v>
      </c>
      <c r="T531" s="68" t="s">
        <v>60</v>
      </c>
      <c r="U531" s="68" t="s">
        <v>61</v>
      </c>
    </row>
    <row r="532" spans="1:21" ht="33.6" thickBot="1">
      <c r="A532" s="68" t="s">
        <v>1834</v>
      </c>
      <c r="B532" s="68" t="s">
        <v>1835</v>
      </c>
      <c r="C532" s="61" t="s">
        <v>49</v>
      </c>
      <c r="D532" s="68" t="s">
        <v>1779</v>
      </c>
      <c r="E532" s="62" t="s">
        <v>19</v>
      </c>
      <c r="F532" s="57" t="s">
        <v>51</v>
      </c>
      <c r="G532" s="68" t="s">
        <v>1836</v>
      </c>
      <c r="H532" s="68"/>
      <c r="I532" s="68"/>
      <c r="J532" s="58" t="s">
        <v>465</v>
      </c>
      <c r="K532" s="58" t="s">
        <v>54</v>
      </c>
      <c r="L532" s="58" t="s">
        <v>288</v>
      </c>
      <c r="M532" s="68" t="s">
        <v>1837</v>
      </c>
      <c r="N532" s="68"/>
      <c r="O532" s="68" t="s">
        <v>103</v>
      </c>
      <c r="P532" s="68" t="s">
        <v>1808</v>
      </c>
      <c r="Q532" s="68" t="s">
        <v>82</v>
      </c>
      <c r="R532" s="68" t="s">
        <v>21</v>
      </c>
      <c r="S532" s="68" t="s">
        <v>1782</v>
      </c>
      <c r="T532" s="68" t="s">
        <v>60</v>
      </c>
      <c r="U532" s="68" t="s">
        <v>61</v>
      </c>
    </row>
    <row r="533" spans="1:21" ht="33.6" thickBot="1">
      <c r="A533" s="68" t="s">
        <v>1838</v>
      </c>
      <c r="B533" s="68" t="s">
        <v>1839</v>
      </c>
      <c r="C533" s="61" t="s">
        <v>49</v>
      </c>
      <c r="D533" s="68" t="s">
        <v>1779</v>
      </c>
      <c r="E533" s="62" t="s">
        <v>19</v>
      </c>
      <c r="F533" s="57" t="s">
        <v>51</v>
      </c>
      <c r="G533" s="68" t="s">
        <v>1840</v>
      </c>
      <c r="H533" s="68"/>
      <c r="I533" s="68"/>
      <c r="J533" s="58" t="s">
        <v>465</v>
      </c>
      <c r="K533" s="58" t="s">
        <v>54</v>
      </c>
      <c r="L533" s="58" t="s">
        <v>288</v>
      </c>
      <c r="M533" s="68" t="s">
        <v>1841</v>
      </c>
      <c r="N533" s="68"/>
      <c r="O533" s="68" t="s">
        <v>113</v>
      </c>
      <c r="P533" s="68" t="s">
        <v>1808</v>
      </c>
      <c r="Q533" s="68" t="s">
        <v>82</v>
      </c>
      <c r="R533" s="68" t="s">
        <v>21</v>
      </c>
      <c r="S533" s="68" t="s">
        <v>1782</v>
      </c>
      <c r="T533" s="68" t="s">
        <v>60</v>
      </c>
      <c r="U533" s="68" t="s">
        <v>61</v>
      </c>
    </row>
    <row r="534" spans="1:21" ht="33.6" thickBot="1">
      <c r="A534" s="68" t="s">
        <v>1842</v>
      </c>
      <c r="B534" s="68" t="s">
        <v>1843</v>
      </c>
      <c r="C534" s="61" t="s">
        <v>49</v>
      </c>
      <c r="D534" s="68" t="s">
        <v>1779</v>
      </c>
      <c r="E534" s="62" t="s">
        <v>19</v>
      </c>
      <c r="F534" s="57" t="s">
        <v>51</v>
      </c>
      <c r="G534" s="68" t="s">
        <v>1620</v>
      </c>
      <c r="H534" s="68"/>
      <c r="I534" s="68"/>
      <c r="J534" s="58" t="s">
        <v>465</v>
      </c>
      <c r="K534" s="58" t="s">
        <v>54</v>
      </c>
      <c r="L534" s="58" t="s">
        <v>288</v>
      </c>
      <c r="M534" s="68" t="s">
        <v>1844</v>
      </c>
      <c r="N534" s="68"/>
      <c r="O534" s="68" t="s">
        <v>103</v>
      </c>
      <c r="P534" s="68" t="s">
        <v>1845</v>
      </c>
      <c r="Q534" s="68" t="s">
        <v>82</v>
      </c>
      <c r="R534" s="68" t="s">
        <v>19</v>
      </c>
      <c r="S534" s="68" t="s">
        <v>1813</v>
      </c>
      <c r="T534" s="68" t="s">
        <v>60</v>
      </c>
      <c r="U534" s="68" t="s">
        <v>61</v>
      </c>
    </row>
    <row r="535" spans="1:21" ht="33.6" thickBot="1">
      <c r="A535" s="68" t="s">
        <v>1846</v>
      </c>
      <c r="B535" s="68" t="s">
        <v>1847</v>
      </c>
      <c r="C535" s="61" t="s">
        <v>49</v>
      </c>
      <c r="D535" s="68" t="s">
        <v>1779</v>
      </c>
      <c r="E535" s="62" t="s">
        <v>19</v>
      </c>
      <c r="F535" s="57" t="s">
        <v>51</v>
      </c>
      <c r="G535" s="68" t="s">
        <v>144</v>
      </c>
      <c r="H535" s="68"/>
      <c r="I535" s="68"/>
      <c r="J535" s="58" t="s">
        <v>465</v>
      </c>
      <c r="K535" s="58" t="s">
        <v>54</v>
      </c>
      <c r="L535" s="58" t="s">
        <v>288</v>
      </c>
      <c r="M535" s="68" t="s">
        <v>1848</v>
      </c>
      <c r="N535" s="68"/>
      <c r="O535" s="68" t="s">
        <v>166</v>
      </c>
      <c r="P535" s="68" t="s">
        <v>1849</v>
      </c>
      <c r="Q535" s="68" t="s">
        <v>82</v>
      </c>
      <c r="R535" s="68" t="s">
        <v>19</v>
      </c>
      <c r="S535" s="68" t="s">
        <v>1558</v>
      </c>
      <c r="T535" s="68" t="s">
        <v>60</v>
      </c>
      <c r="U535" s="68" t="s">
        <v>61</v>
      </c>
    </row>
    <row r="536" spans="1:21" ht="33.6" thickBot="1">
      <c r="A536" s="68" t="s">
        <v>1850</v>
      </c>
      <c r="B536" s="68" t="s">
        <v>1851</v>
      </c>
      <c r="C536" s="61" t="s">
        <v>49</v>
      </c>
      <c r="D536" s="68" t="s">
        <v>1779</v>
      </c>
      <c r="E536" s="62" t="s">
        <v>19</v>
      </c>
      <c r="F536" s="57" t="s">
        <v>51</v>
      </c>
      <c r="G536" s="68" t="s">
        <v>1852</v>
      </c>
      <c r="H536" s="68"/>
      <c r="I536" s="68"/>
      <c r="J536" s="58" t="s">
        <v>465</v>
      </c>
      <c r="K536" s="58" t="s">
        <v>54</v>
      </c>
      <c r="L536" s="58" t="s">
        <v>288</v>
      </c>
      <c r="M536" s="68" t="s">
        <v>1853</v>
      </c>
      <c r="N536" s="68"/>
      <c r="O536" s="68" t="s">
        <v>153</v>
      </c>
      <c r="P536" s="68" t="s">
        <v>1854</v>
      </c>
      <c r="Q536" s="68" t="s">
        <v>82</v>
      </c>
      <c r="R536" s="68" t="s">
        <v>19</v>
      </c>
      <c r="S536" s="68" t="s">
        <v>1818</v>
      </c>
      <c r="T536" s="68" t="s">
        <v>1738</v>
      </c>
      <c r="U536" s="68" t="s">
        <v>61</v>
      </c>
    </row>
    <row r="537" spans="1:21" ht="33.6" thickBot="1">
      <c r="A537" s="68" t="s">
        <v>1855</v>
      </c>
      <c r="B537" s="68" t="s">
        <v>1856</v>
      </c>
      <c r="C537" s="61" t="s">
        <v>49</v>
      </c>
      <c r="D537" s="68" t="s">
        <v>1779</v>
      </c>
      <c r="E537" s="62" t="s">
        <v>19</v>
      </c>
      <c r="F537" s="57" t="s">
        <v>51</v>
      </c>
      <c r="G537" s="68" t="s">
        <v>1857</v>
      </c>
      <c r="H537" s="68"/>
      <c r="I537" s="68"/>
      <c r="J537" s="58" t="s">
        <v>465</v>
      </c>
      <c r="K537" s="58" t="s">
        <v>54</v>
      </c>
      <c r="L537" s="58" t="s">
        <v>288</v>
      </c>
      <c r="M537" s="68" t="s">
        <v>1858</v>
      </c>
      <c r="N537" s="68"/>
      <c r="O537" s="68" t="s">
        <v>117</v>
      </c>
      <c r="P537" s="68" t="s">
        <v>1859</v>
      </c>
      <c r="Q537" s="68" t="s">
        <v>82</v>
      </c>
      <c r="R537" s="68" t="s">
        <v>19</v>
      </c>
      <c r="S537" s="68" t="s">
        <v>1782</v>
      </c>
      <c r="T537" s="68" t="s">
        <v>83</v>
      </c>
      <c r="U537" s="68" t="s">
        <v>61</v>
      </c>
    </row>
    <row r="538" spans="1:21" ht="33.6" thickBot="1">
      <c r="A538" s="68" t="s">
        <v>1860</v>
      </c>
      <c r="B538" s="68" t="s">
        <v>1861</v>
      </c>
      <c r="C538" s="61" t="s">
        <v>49</v>
      </c>
      <c r="D538" s="68" t="s">
        <v>1779</v>
      </c>
      <c r="E538" s="62" t="s">
        <v>19</v>
      </c>
      <c r="F538" s="57" t="s">
        <v>51</v>
      </c>
      <c r="G538" s="68" t="s">
        <v>1862</v>
      </c>
      <c r="H538" s="68"/>
      <c r="I538" s="68"/>
      <c r="J538" s="58" t="s">
        <v>465</v>
      </c>
      <c r="K538" s="58" t="s">
        <v>54</v>
      </c>
      <c r="L538" s="58" t="s">
        <v>288</v>
      </c>
      <c r="M538" s="68" t="s">
        <v>1863</v>
      </c>
      <c r="N538" s="68"/>
      <c r="O538" s="68" t="s">
        <v>98</v>
      </c>
      <c r="P538" s="68" t="s">
        <v>1817</v>
      </c>
      <c r="Q538" s="68" t="s">
        <v>89</v>
      </c>
      <c r="R538" s="68" t="s">
        <v>19</v>
      </c>
      <c r="S538" s="68" t="s">
        <v>1782</v>
      </c>
      <c r="T538" s="68" t="s">
        <v>60</v>
      </c>
      <c r="U538" s="68" t="s">
        <v>61</v>
      </c>
    </row>
    <row r="539" spans="1:21" ht="33.6" thickBot="1">
      <c r="A539" s="68" t="s">
        <v>1864</v>
      </c>
      <c r="B539" s="68" t="s">
        <v>1865</v>
      </c>
      <c r="C539" s="61" t="s">
        <v>49</v>
      </c>
      <c r="D539" s="68" t="s">
        <v>1779</v>
      </c>
      <c r="E539" s="62" t="s">
        <v>19</v>
      </c>
      <c r="F539" s="57" t="s">
        <v>51</v>
      </c>
      <c r="G539" s="68" t="s">
        <v>170</v>
      </c>
      <c r="H539" s="68"/>
      <c r="I539" s="68"/>
      <c r="J539" s="58" t="s">
        <v>465</v>
      </c>
      <c r="K539" s="58" t="s">
        <v>54</v>
      </c>
      <c r="L539" s="58" t="s">
        <v>288</v>
      </c>
      <c r="M539" s="68" t="s">
        <v>1866</v>
      </c>
      <c r="N539" s="68"/>
      <c r="O539" s="68" t="s">
        <v>93</v>
      </c>
      <c r="P539" s="68" t="s">
        <v>1867</v>
      </c>
      <c r="Q539" s="68" t="s">
        <v>82</v>
      </c>
      <c r="R539" s="68" t="s">
        <v>19</v>
      </c>
      <c r="S539" s="68" t="s">
        <v>1812</v>
      </c>
      <c r="T539" s="68" t="s">
        <v>83</v>
      </c>
      <c r="U539" s="68" t="s">
        <v>61</v>
      </c>
    </row>
    <row r="540" spans="1:21" ht="33.6" thickBot="1">
      <c r="A540" s="68" t="s">
        <v>1868</v>
      </c>
      <c r="B540" s="68" t="s">
        <v>1869</v>
      </c>
      <c r="C540" s="61" t="s">
        <v>49</v>
      </c>
      <c r="D540" s="68" t="s">
        <v>1779</v>
      </c>
      <c r="E540" s="62" t="s">
        <v>19</v>
      </c>
      <c r="F540" s="57" t="s">
        <v>51</v>
      </c>
      <c r="G540" s="68" t="s">
        <v>1870</v>
      </c>
      <c r="H540" s="68"/>
      <c r="I540" s="68"/>
      <c r="J540" s="58" t="s">
        <v>465</v>
      </c>
      <c r="K540" s="58" t="s">
        <v>54</v>
      </c>
      <c r="L540" s="58" t="s">
        <v>288</v>
      </c>
      <c r="M540" s="68" t="s">
        <v>1871</v>
      </c>
      <c r="N540" s="68"/>
      <c r="O540" s="68" t="s">
        <v>153</v>
      </c>
      <c r="P540" s="68" t="s">
        <v>1872</v>
      </c>
      <c r="Q540" s="68" t="s">
        <v>82</v>
      </c>
      <c r="R540" s="68" t="s">
        <v>19</v>
      </c>
      <c r="S540" s="68" t="s">
        <v>1846</v>
      </c>
      <c r="T540" s="68" t="s">
        <v>83</v>
      </c>
      <c r="U540" s="68" t="s">
        <v>61</v>
      </c>
    </row>
    <row r="541" spans="1:21" ht="33.6" thickBot="1">
      <c r="A541" s="68" t="s">
        <v>1873</v>
      </c>
      <c r="B541" s="68" t="s">
        <v>1874</v>
      </c>
      <c r="C541" s="61" t="s">
        <v>49</v>
      </c>
      <c r="D541" s="68" t="s">
        <v>1779</v>
      </c>
      <c r="E541" s="62" t="s">
        <v>19</v>
      </c>
      <c r="F541" s="57" t="s">
        <v>51</v>
      </c>
      <c r="G541" s="68" t="s">
        <v>659</v>
      </c>
      <c r="H541" s="68"/>
      <c r="I541" s="68"/>
      <c r="J541" s="58" t="s">
        <v>465</v>
      </c>
      <c r="K541" s="58" t="s">
        <v>54</v>
      </c>
      <c r="L541" s="58" t="s">
        <v>288</v>
      </c>
      <c r="M541" s="68" t="s">
        <v>1875</v>
      </c>
      <c r="N541" s="68"/>
      <c r="O541" s="68" t="s">
        <v>113</v>
      </c>
      <c r="P541" s="68" t="s">
        <v>1876</v>
      </c>
      <c r="Q541" s="68" t="s">
        <v>82</v>
      </c>
      <c r="R541" s="68" t="s">
        <v>21</v>
      </c>
      <c r="S541" s="68" t="s">
        <v>1813</v>
      </c>
      <c r="T541" s="68" t="s">
        <v>60</v>
      </c>
      <c r="U541" s="68" t="s">
        <v>61</v>
      </c>
    </row>
    <row r="542" spans="1:21" ht="33.6" thickBot="1">
      <c r="A542" s="68" t="s">
        <v>1877</v>
      </c>
      <c r="B542" s="68" t="s">
        <v>1878</v>
      </c>
      <c r="C542" s="61" t="s">
        <v>49</v>
      </c>
      <c r="D542" s="68" t="s">
        <v>1779</v>
      </c>
      <c r="E542" s="62" t="s">
        <v>19</v>
      </c>
      <c r="F542" s="57" t="s">
        <v>51</v>
      </c>
      <c r="G542" s="68" t="s">
        <v>1879</v>
      </c>
      <c r="H542" s="68"/>
      <c r="I542" s="68"/>
      <c r="J542" s="58" t="s">
        <v>465</v>
      </c>
      <c r="K542" s="58" t="s">
        <v>54</v>
      </c>
      <c r="L542" s="58" t="s">
        <v>288</v>
      </c>
      <c r="M542" s="68" t="s">
        <v>1715</v>
      </c>
      <c r="N542" s="68"/>
      <c r="O542" s="68" t="s">
        <v>166</v>
      </c>
      <c r="P542" s="68" t="s">
        <v>1817</v>
      </c>
      <c r="Q542" s="68" t="s">
        <v>82</v>
      </c>
      <c r="R542" s="68" t="s">
        <v>21</v>
      </c>
      <c r="S542" s="68" t="s">
        <v>1842</v>
      </c>
      <c r="T542" s="68" t="s">
        <v>60</v>
      </c>
      <c r="U542" s="68" t="s">
        <v>61</v>
      </c>
    </row>
    <row r="543" spans="1:21" ht="33.6" thickBot="1">
      <c r="A543" s="68" t="s">
        <v>1880</v>
      </c>
      <c r="B543" s="68" t="s">
        <v>1881</v>
      </c>
      <c r="C543" s="61" t="s">
        <v>49</v>
      </c>
      <c r="D543" s="68" t="s">
        <v>1779</v>
      </c>
      <c r="E543" s="62" t="s">
        <v>19</v>
      </c>
      <c r="F543" s="57" t="s">
        <v>51</v>
      </c>
      <c r="G543" s="68" t="s">
        <v>1668</v>
      </c>
      <c r="H543" s="68"/>
      <c r="I543" s="68"/>
      <c r="J543" s="58" t="s">
        <v>465</v>
      </c>
      <c r="K543" s="58" t="s">
        <v>54</v>
      </c>
      <c r="L543" s="58" t="s">
        <v>288</v>
      </c>
      <c r="M543" s="68" t="s">
        <v>1669</v>
      </c>
      <c r="N543" s="68"/>
      <c r="O543" s="68" t="s">
        <v>87</v>
      </c>
      <c r="P543" s="68" t="s">
        <v>1882</v>
      </c>
      <c r="Q543" s="68" t="s">
        <v>82</v>
      </c>
      <c r="R543" s="68" t="s">
        <v>19</v>
      </c>
      <c r="S543" s="68" t="s">
        <v>1558</v>
      </c>
      <c r="T543" s="68" t="s">
        <v>119</v>
      </c>
      <c r="U543" s="68" t="s">
        <v>61</v>
      </c>
    </row>
    <row r="544" spans="1:21" ht="33.6" thickBot="1">
      <c r="A544" s="68" t="s">
        <v>1883</v>
      </c>
      <c r="B544" s="68" t="s">
        <v>1672</v>
      </c>
      <c r="C544" s="61" t="s">
        <v>49</v>
      </c>
      <c r="D544" s="68" t="s">
        <v>1779</v>
      </c>
      <c r="E544" s="62" t="s">
        <v>19</v>
      </c>
      <c r="F544" s="57" t="s">
        <v>51</v>
      </c>
      <c r="G544" s="68" t="s">
        <v>1884</v>
      </c>
      <c r="H544" s="68"/>
      <c r="I544" s="68"/>
      <c r="J544" s="58" t="s">
        <v>465</v>
      </c>
      <c r="K544" s="58" t="s">
        <v>54</v>
      </c>
      <c r="L544" s="58" t="s">
        <v>288</v>
      </c>
      <c r="M544" s="68" t="s">
        <v>1885</v>
      </c>
      <c r="N544" s="68"/>
      <c r="O544" s="68" t="s">
        <v>103</v>
      </c>
      <c r="P544" s="68" t="s">
        <v>1675</v>
      </c>
      <c r="Q544" s="68" t="s">
        <v>82</v>
      </c>
      <c r="R544" s="68" t="s">
        <v>19</v>
      </c>
      <c r="S544" s="68" t="s">
        <v>1558</v>
      </c>
      <c r="T544" s="68" t="s">
        <v>119</v>
      </c>
      <c r="U544" s="68" t="s">
        <v>61</v>
      </c>
    </row>
    <row r="545" spans="1:21" ht="33.6" thickBot="1">
      <c r="A545" s="68" t="s">
        <v>1886</v>
      </c>
      <c r="B545" s="68" t="s">
        <v>1887</v>
      </c>
      <c r="C545" s="61" t="s">
        <v>49</v>
      </c>
      <c r="D545" s="68" t="s">
        <v>1779</v>
      </c>
      <c r="E545" s="62" t="s">
        <v>19</v>
      </c>
      <c r="F545" s="57" t="s">
        <v>51</v>
      </c>
      <c r="G545" s="68" t="s">
        <v>249</v>
      </c>
      <c r="H545" s="68"/>
      <c r="I545" s="68"/>
      <c r="J545" s="58" t="s">
        <v>465</v>
      </c>
      <c r="K545" s="58" t="s">
        <v>54</v>
      </c>
      <c r="L545" s="58" t="s">
        <v>288</v>
      </c>
      <c r="M545" s="68" t="s">
        <v>1888</v>
      </c>
      <c r="N545" s="68"/>
      <c r="O545" s="68" t="s">
        <v>113</v>
      </c>
      <c r="P545" s="68" t="s">
        <v>1889</v>
      </c>
      <c r="Q545" s="68" t="s">
        <v>82</v>
      </c>
      <c r="R545" s="68" t="s">
        <v>19</v>
      </c>
      <c r="S545" s="68" t="s">
        <v>1558</v>
      </c>
      <c r="T545" s="68" t="s">
        <v>119</v>
      </c>
      <c r="U545" s="68" t="s">
        <v>61</v>
      </c>
    </row>
    <row r="546" spans="1:21" ht="33.6" thickBot="1">
      <c r="A546" s="68" t="s">
        <v>1890</v>
      </c>
      <c r="B546" s="68" t="s">
        <v>1891</v>
      </c>
      <c r="C546" s="61" t="s">
        <v>49</v>
      </c>
      <c r="D546" s="68" t="s">
        <v>1779</v>
      </c>
      <c r="E546" s="62" t="s">
        <v>19</v>
      </c>
      <c r="F546" s="57" t="s">
        <v>51</v>
      </c>
      <c r="G546" s="68" t="s">
        <v>139</v>
      </c>
      <c r="H546" s="68"/>
      <c r="I546" s="68"/>
      <c r="J546" s="58" t="s">
        <v>465</v>
      </c>
      <c r="K546" s="58" t="s">
        <v>54</v>
      </c>
      <c r="L546" s="58" t="s">
        <v>288</v>
      </c>
      <c r="M546" s="68" t="s">
        <v>228</v>
      </c>
      <c r="N546" s="68"/>
      <c r="O546" s="68" t="s">
        <v>93</v>
      </c>
      <c r="P546" s="68" t="s">
        <v>1892</v>
      </c>
      <c r="Q546" s="68" t="s">
        <v>82</v>
      </c>
      <c r="R546" s="68" t="s">
        <v>19</v>
      </c>
      <c r="S546" s="68" t="s">
        <v>1558</v>
      </c>
      <c r="T546" s="68" t="s">
        <v>141</v>
      </c>
      <c r="U546" s="68" t="s">
        <v>61</v>
      </c>
    </row>
    <row r="547" spans="1:21" ht="33.6" thickBot="1">
      <c r="A547" s="68" t="s">
        <v>1893</v>
      </c>
      <c r="B547" s="68" t="s">
        <v>1686</v>
      </c>
      <c r="C547" s="61" t="s">
        <v>49</v>
      </c>
      <c r="D547" s="68" t="s">
        <v>1779</v>
      </c>
      <c r="E547" s="62" t="s">
        <v>19</v>
      </c>
      <c r="F547" s="57" t="s">
        <v>51</v>
      </c>
      <c r="G547" s="68" t="s">
        <v>1894</v>
      </c>
      <c r="H547" s="68"/>
      <c r="I547" s="68"/>
      <c r="J547" s="58" t="s">
        <v>465</v>
      </c>
      <c r="K547" s="58" t="s">
        <v>54</v>
      </c>
      <c r="L547" s="58" t="s">
        <v>288</v>
      </c>
      <c r="M547" s="68" t="s">
        <v>1688</v>
      </c>
      <c r="N547" s="68"/>
      <c r="O547" s="68" t="s">
        <v>108</v>
      </c>
      <c r="P547" s="68" t="s">
        <v>1689</v>
      </c>
      <c r="Q547" s="68" t="s">
        <v>82</v>
      </c>
      <c r="R547" s="68" t="s">
        <v>19</v>
      </c>
      <c r="S547" s="68" t="s">
        <v>1785</v>
      </c>
      <c r="T547" s="68" t="s">
        <v>141</v>
      </c>
      <c r="U547" s="68" t="s">
        <v>61</v>
      </c>
    </row>
    <row r="548" spans="1:21" ht="33.6" thickBot="1">
      <c r="A548" s="68" t="s">
        <v>1895</v>
      </c>
      <c r="B548" s="68" t="s">
        <v>1896</v>
      </c>
      <c r="C548" s="61" t="s">
        <v>49</v>
      </c>
      <c r="D548" s="68" t="s">
        <v>1779</v>
      </c>
      <c r="E548" s="62" t="s">
        <v>19</v>
      </c>
      <c r="F548" s="57" t="s">
        <v>51</v>
      </c>
      <c r="G548" s="68" t="s">
        <v>211</v>
      </c>
      <c r="H548" s="68"/>
      <c r="I548" s="68"/>
      <c r="J548" s="58" t="s">
        <v>465</v>
      </c>
      <c r="K548" s="58" t="s">
        <v>54</v>
      </c>
      <c r="L548" s="58" t="s">
        <v>288</v>
      </c>
      <c r="M548" s="68" t="s">
        <v>1897</v>
      </c>
      <c r="N548" s="68"/>
      <c r="O548" s="68" t="s">
        <v>57</v>
      </c>
      <c r="P548" s="68" t="s">
        <v>1898</v>
      </c>
      <c r="Q548" s="68" t="s">
        <v>82</v>
      </c>
      <c r="R548" s="68" t="s">
        <v>19</v>
      </c>
      <c r="S548" s="68" t="s">
        <v>1812</v>
      </c>
      <c r="T548" s="68" t="s">
        <v>141</v>
      </c>
      <c r="U548" s="68" t="s">
        <v>61</v>
      </c>
    </row>
    <row r="549" spans="1:21" ht="17.100000000000001" thickBot="1">
      <c r="A549" s="68" t="s">
        <v>1899</v>
      </c>
      <c r="B549" s="68" t="s">
        <v>1900</v>
      </c>
      <c r="C549" s="61" t="s">
        <v>49</v>
      </c>
      <c r="D549" s="68" t="s">
        <v>1779</v>
      </c>
      <c r="E549" s="62" t="s">
        <v>19</v>
      </c>
      <c r="F549" s="57" t="s">
        <v>51</v>
      </c>
      <c r="G549" s="68" t="s">
        <v>1696</v>
      </c>
      <c r="H549" s="68"/>
      <c r="I549" s="68"/>
      <c r="J549" s="58" t="s">
        <v>465</v>
      </c>
      <c r="K549" s="58" t="s">
        <v>54</v>
      </c>
      <c r="L549" s="58" t="s">
        <v>288</v>
      </c>
      <c r="M549" s="68" t="s">
        <v>1697</v>
      </c>
      <c r="N549" s="68"/>
      <c r="O549" s="68" t="s">
        <v>232</v>
      </c>
      <c r="P549" s="68" t="s">
        <v>1901</v>
      </c>
      <c r="Q549" s="68" t="s">
        <v>82</v>
      </c>
      <c r="R549" s="68" t="s">
        <v>19</v>
      </c>
      <c r="S549" s="68" t="s">
        <v>1782</v>
      </c>
      <c r="T549" s="68" t="s">
        <v>141</v>
      </c>
      <c r="U549" s="68" t="s">
        <v>61</v>
      </c>
    </row>
    <row r="550" spans="1:21" ht="33.6" thickBot="1">
      <c r="A550" s="68" t="s">
        <v>1902</v>
      </c>
      <c r="B550" s="68" t="s">
        <v>1903</v>
      </c>
      <c r="C550" s="61" t="s">
        <v>49</v>
      </c>
      <c r="D550" s="68" t="s">
        <v>1779</v>
      </c>
      <c r="E550" s="62" t="s">
        <v>19</v>
      </c>
      <c r="F550" s="57" t="s">
        <v>51</v>
      </c>
      <c r="G550" s="68" t="s">
        <v>459</v>
      </c>
      <c r="H550" s="68"/>
      <c r="I550" s="68"/>
      <c r="J550" s="58" t="s">
        <v>465</v>
      </c>
      <c r="K550" s="58" t="s">
        <v>54</v>
      </c>
      <c r="L550" s="58" t="s">
        <v>288</v>
      </c>
      <c r="M550" s="68" t="s">
        <v>1701</v>
      </c>
      <c r="N550" s="68"/>
      <c r="O550" s="68" t="s">
        <v>166</v>
      </c>
      <c r="P550" s="68" t="s">
        <v>1904</v>
      </c>
      <c r="Q550" s="68" t="s">
        <v>82</v>
      </c>
      <c r="R550" s="68" t="s">
        <v>21</v>
      </c>
      <c r="S550" s="68" t="s">
        <v>1782</v>
      </c>
      <c r="T550" s="68" t="s">
        <v>60</v>
      </c>
      <c r="U550" s="68" t="s">
        <v>61</v>
      </c>
    </row>
    <row r="551" spans="1:21" ht="33.6" thickBot="1">
      <c r="A551" s="68" t="s">
        <v>1905</v>
      </c>
      <c r="B551" s="68" t="s">
        <v>1906</v>
      </c>
      <c r="C551" s="61" t="s">
        <v>49</v>
      </c>
      <c r="D551" s="68" t="s">
        <v>1779</v>
      </c>
      <c r="E551" s="62" t="s">
        <v>19</v>
      </c>
      <c r="F551" s="57" t="s">
        <v>51</v>
      </c>
      <c r="G551" s="68" t="s">
        <v>1907</v>
      </c>
      <c r="H551" s="68"/>
      <c r="I551" s="68"/>
      <c r="J551" s="58" t="s">
        <v>465</v>
      </c>
      <c r="K551" s="58" t="s">
        <v>54</v>
      </c>
      <c r="L551" s="58" t="s">
        <v>288</v>
      </c>
      <c r="M551" s="68" t="s">
        <v>1706</v>
      </c>
      <c r="N551" s="68"/>
      <c r="O551" s="68" t="s">
        <v>166</v>
      </c>
      <c r="P551" s="68" t="s">
        <v>1908</v>
      </c>
      <c r="Q551" s="68" t="s">
        <v>82</v>
      </c>
      <c r="R551" s="68" t="s">
        <v>21</v>
      </c>
      <c r="S551" s="68" t="s">
        <v>1873</v>
      </c>
      <c r="T551" s="68" t="s">
        <v>60</v>
      </c>
      <c r="U551" s="68" t="s">
        <v>61</v>
      </c>
    </row>
    <row r="552" spans="1:21" ht="33.6" thickBot="1">
      <c r="A552" s="68" t="s">
        <v>1909</v>
      </c>
      <c r="B552" s="68" t="s">
        <v>1709</v>
      </c>
      <c r="C552" s="61" t="s">
        <v>49</v>
      </c>
      <c r="D552" s="68" t="s">
        <v>1779</v>
      </c>
      <c r="E552" s="62" t="s">
        <v>19</v>
      </c>
      <c r="F552" s="57" t="s">
        <v>51</v>
      </c>
      <c r="G552" s="68" t="s">
        <v>249</v>
      </c>
      <c r="H552" s="68"/>
      <c r="I552" s="68"/>
      <c r="J552" s="58" t="s">
        <v>465</v>
      </c>
      <c r="K552" s="58" t="s">
        <v>54</v>
      </c>
      <c r="L552" s="58" t="s">
        <v>288</v>
      </c>
      <c r="M552" s="68" t="s">
        <v>1636</v>
      </c>
      <c r="N552" s="68"/>
      <c r="O552" s="68" t="s">
        <v>103</v>
      </c>
      <c r="P552" s="68" t="s">
        <v>1910</v>
      </c>
      <c r="Q552" s="68" t="s">
        <v>82</v>
      </c>
      <c r="R552" s="68" t="s">
        <v>21</v>
      </c>
      <c r="S552" s="68" t="s">
        <v>1860</v>
      </c>
      <c r="T552" s="68" t="s">
        <v>119</v>
      </c>
      <c r="U552" s="68" t="s">
        <v>61</v>
      </c>
    </row>
    <row r="553" spans="1:21" ht="33.6" thickBot="1">
      <c r="A553" s="68" t="s">
        <v>1911</v>
      </c>
      <c r="B553" s="68" t="s">
        <v>1912</v>
      </c>
      <c r="C553" s="61" t="s">
        <v>49</v>
      </c>
      <c r="D553" s="68" t="s">
        <v>1779</v>
      </c>
      <c r="E553" s="62" t="s">
        <v>19</v>
      </c>
      <c r="F553" s="57" t="s">
        <v>51</v>
      </c>
      <c r="G553" s="68" t="s">
        <v>1913</v>
      </c>
      <c r="H553" s="68"/>
      <c r="I553" s="68"/>
      <c r="J553" s="58" t="s">
        <v>465</v>
      </c>
      <c r="K553" s="58" t="s">
        <v>54</v>
      </c>
      <c r="L553" s="58" t="s">
        <v>288</v>
      </c>
      <c r="M553" s="68" t="s">
        <v>1715</v>
      </c>
      <c r="N553" s="68"/>
      <c r="O553" s="68" t="s">
        <v>153</v>
      </c>
      <c r="P553" s="68" t="s">
        <v>1914</v>
      </c>
      <c r="Q553" s="68" t="s">
        <v>82</v>
      </c>
      <c r="R553" s="68" t="s">
        <v>19</v>
      </c>
      <c r="S553" s="68" t="s">
        <v>1818</v>
      </c>
      <c r="T553" s="68" t="s">
        <v>119</v>
      </c>
      <c r="U553" s="68" t="s">
        <v>61</v>
      </c>
    </row>
    <row r="554" spans="1:21" ht="33.6" thickBot="1">
      <c r="A554" s="68" t="s">
        <v>1915</v>
      </c>
      <c r="B554" s="68" t="s">
        <v>1916</v>
      </c>
      <c r="C554" s="61" t="s">
        <v>49</v>
      </c>
      <c r="D554" s="68" t="s">
        <v>1779</v>
      </c>
      <c r="E554" s="62" t="s">
        <v>19</v>
      </c>
      <c r="F554" s="57" t="s">
        <v>51</v>
      </c>
      <c r="G554" s="68" t="s">
        <v>1917</v>
      </c>
      <c r="H554" s="68"/>
      <c r="I554" s="68"/>
      <c r="J554" s="58" t="s">
        <v>465</v>
      </c>
      <c r="K554" s="58" t="s">
        <v>54</v>
      </c>
      <c r="L554" s="58" t="s">
        <v>288</v>
      </c>
      <c r="M554" s="68" t="s">
        <v>1720</v>
      </c>
      <c r="N554" s="68"/>
      <c r="O554" s="68" t="s">
        <v>113</v>
      </c>
      <c r="P554" s="68" t="s">
        <v>1918</v>
      </c>
      <c r="Q554" s="68" t="s">
        <v>82</v>
      </c>
      <c r="R554" s="68" t="s">
        <v>19</v>
      </c>
      <c r="S554" s="68" t="s">
        <v>1834</v>
      </c>
      <c r="T554" s="68" t="s">
        <v>119</v>
      </c>
      <c r="U554" s="68" t="s">
        <v>61</v>
      </c>
    </row>
    <row r="555" spans="1:21" ht="17.100000000000001" thickBot="1">
      <c r="A555" s="68" t="s">
        <v>1919</v>
      </c>
      <c r="B555" s="68" t="s">
        <v>1723</v>
      </c>
      <c r="C555" s="61" t="s">
        <v>49</v>
      </c>
      <c r="D555" s="68" t="s">
        <v>1779</v>
      </c>
      <c r="E555" s="62" t="s">
        <v>19</v>
      </c>
      <c r="F555" s="57" t="s">
        <v>51</v>
      </c>
      <c r="G555" s="68" t="s">
        <v>1920</v>
      </c>
      <c r="H555" s="68"/>
      <c r="I555" s="68"/>
      <c r="J555" s="58" t="s">
        <v>465</v>
      </c>
      <c r="K555" s="58" t="s">
        <v>54</v>
      </c>
      <c r="L555" s="58" t="s">
        <v>288</v>
      </c>
      <c r="M555" s="68" t="s">
        <v>1715</v>
      </c>
      <c r="N555" s="68"/>
      <c r="O555" s="68" t="s">
        <v>153</v>
      </c>
      <c r="P555" s="68" t="s">
        <v>1921</v>
      </c>
      <c r="Q555" s="68" t="s">
        <v>82</v>
      </c>
      <c r="R555" s="68" t="s">
        <v>19</v>
      </c>
      <c r="S555" s="68" t="s">
        <v>1860</v>
      </c>
      <c r="T555" s="68" t="s">
        <v>119</v>
      </c>
      <c r="U555" s="68" t="s">
        <v>61</v>
      </c>
    </row>
    <row r="556" spans="1:21" ht="33.6" thickBot="1">
      <c r="A556" s="68" t="s">
        <v>1922</v>
      </c>
      <c r="B556" s="68" t="s">
        <v>1923</v>
      </c>
      <c r="C556" s="61" t="s">
        <v>49</v>
      </c>
      <c r="D556" s="68" t="s">
        <v>1779</v>
      </c>
      <c r="E556" s="62" t="s">
        <v>19</v>
      </c>
      <c r="F556" s="57" t="s">
        <v>51</v>
      </c>
      <c r="G556" s="68" t="s">
        <v>1924</v>
      </c>
      <c r="H556" s="68"/>
      <c r="I556" s="68"/>
      <c r="J556" s="58" t="s">
        <v>465</v>
      </c>
      <c r="K556" s="58" t="s">
        <v>54</v>
      </c>
      <c r="L556" s="58" t="s">
        <v>288</v>
      </c>
      <c r="M556" s="68" t="s">
        <v>1925</v>
      </c>
      <c r="N556" s="68"/>
      <c r="O556" s="68" t="s">
        <v>98</v>
      </c>
      <c r="P556" s="68" t="s">
        <v>1926</v>
      </c>
      <c r="Q556" s="68" t="s">
        <v>89</v>
      </c>
      <c r="R556" s="68" t="s">
        <v>21</v>
      </c>
      <c r="S556" s="68" t="s">
        <v>1782</v>
      </c>
      <c r="T556" s="68" t="s">
        <v>60</v>
      </c>
      <c r="U556" s="68" t="s">
        <v>61</v>
      </c>
    </row>
    <row r="557" spans="1:21" ht="33.6" thickBot="1">
      <c r="A557" s="68" t="s">
        <v>1927</v>
      </c>
      <c r="B557" s="68" t="s">
        <v>1928</v>
      </c>
      <c r="C557" s="61" t="s">
        <v>49</v>
      </c>
      <c r="D557" s="68" t="s">
        <v>1779</v>
      </c>
      <c r="E557" s="62" t="s">
        <v>19</v>
      </c>
      <c r="F557" s="57" t="s">
        <v>51</v>
      </c>
      <c r="G557" s="68" t="s">
        <v>1929</v>
      </c>
      <c r="H557" s="68"/>
      <c r="I557" s="68"/>
      <c r="J557" s="58" t="s">
        <v>465</v>
      </c>
      <c r="K557" s="58" t="s">
        <v>54</v>
      </c>
      <c r="L557" s="58" t="s">
        <v>288</v>
      </c>
      <c r="M557" s="68" t="s">
        <v>228</v>
      </c>
      <c r="N557" s="68"/>
      <c r="O557" s="68" t="s">
        <v>87</v>
      </c>
      <c r="P557" s="68" t="s">
        <v>1808</v>
      </c>
      <c r="Q557" s="68" t="s">
        <v>82</v>
      </c>
      <c r="R557" s="68" t="s">
        <v>19</v>
      </c>
      <c r="S557" s="68" t="s">
        <v>1782</v>
      </c>
      <c r="T557" s="68" t="s">
        <v>141</v>
      </c>
      <c r="U557" s="68" t="s">
        <v>61</v>
      </c>
    </row>
    <row r="558" spans="1:21" ht="33.6" thickBot="1">
      <c r="A558" s="68" t="s">
        <v>1930</v>
      </c>
      <c r="B558" s="68" t="s">
        <v>1931</v>
      </c>
      <c r="C558" s="61" t="s">
        <v>49</v>
      </c>
      <c r="D558" s="68" t="s">
        <v>1779</v>
      </c>
      <c r="E558" s="62" t="s">
        <v>19</v>
      </c>
      <c r="F558" s="57" t="s">
        <v>51</v>
      </c>
      <c r="G558" s="68" t="s">
        <v>1932</v>
      </c>
      <c r="H558" s="68"/>
      <c r="I558" s="68"/>
      <c r="J558" s="58" t="s">
        <v>465</v>
      </c>
      <c r="K558" s="58" t="s">
        <v>54</v>
      </c>
      <c r="L558" s="58" t="s">
        <v>288</v>
      </c>
      <c r="M558" s="68" t="s">
        <v>1736</v>
      </c>
      <c r="N558" s="68"/>
      <c r="O558" s="68" t="s">
        <v>166</v>
      </c>
      <c r="P558" s="68" t="s">
        <v>1737</v>
      </c>
      <c r="Q558" s="68" t="s">
        <v>82</v>
      </c>
      <c r="R558" s="68" t="s">
        <v>19</v>
      </c>
      <c r="S558" s="68" t="s">
        <v>1558</v>
      </c>
      <c r="T558" s="68" t="s">
        <v>1738</v>
      </c>
      <c r="U558" s="68" t="s">
        <v>61</v>
      </c>
    </row>
    <row r="559" spans="1:21" ht="33.6" thickBot="1">
      <c r="A559" s="68" t="s">
        <v>1933</v>
      </c>
      <c r="B559" s="68" t="s">
        <v>1934</v>
      </c>
      <c r="C559" s="61" t="s">
        <v>49</v>
      </c>
      <c r="D559" s="68" t="s">
        <v>1779</v>
      </c>
      <c r="E559" s="62" t="s">
        <v>19</v>
      </c>
      <c r="F559" s="57" t="s">
        <v>51</v>
      </c>
      <c r="G559" s="68" t="s">
        <v>1935</v>
      </c>
      <c r="H559" s="68"/>
      <c r="I559" s="68"/>
      <c r="J559" s="58" t="s">
        <v>465</v>
      </c>
      <c r="K559" s="58" t="s">
        <v>54</v>
      </c>
      <c r="L559" s="58" t="s">
        <v>288</v>
      </c>
      <c r="M559" s="68" t="s">
        <v>1936</v>
      </c>
      <c r="N559" s="68"/>
      <c r="O559" s="68" t="s">
        <v>103</v>
      </c>
      <c r="P559" s="68" t="s">
        <v>1743</v>
      </c>
      <c r="Q559" s="68" t="s">
        <v>82</v>
      </c>
      <c r="R559" s="68" t="s">
        <v>19</v>
      </c>
      <c r="S559" s="68" t="s">
        <v>1812</v>
      </c>
      <c r="T559" s="68" t="s">
        <v>60</v>
      </c>
      <c r="U559" s="68" t="s">
        <v>61</v>
      </c>
    </row>
    <row r="560" spans="1:21" ht="33.6" thickBot="1">
      <c r="A560" s="68" t="s">
        <v>1937</v>
      </c>
      <c r="B560" s="68" t="s">
        <v>1938</v>
      </c>
      <c r="C560" s="61" t="s">
        <v>49</v>
      </c>
      <c r="D560" s="68" t="s">
        <v>1779</v>
      </c>
      <c r="E560" s="62" t="s">
        <v>19</v>
      </c>
      <c r="F560" s="57" t="s">
        <v>51</v>
      </c>
      <c r="G560" s="68" t="s">
        <v>1746</v>
      </c>
      <c r="H560" s="68"/>
      <c r="I560" s="68"/>
      <c r="J560" s="58" t="s">
        <v>465</v>
      </c>
      <c r="K560" s="58" t="s">
        <v>54</v>
      </c>
      <c r="L560" s="58" t="s">
        <v>288</v>
      </c>
      <c r="M560" s="68" t="s">
        <v>1936</v>
      </c>
      <c r="N560" s="68"/>
      <c r="O560" s="68" t="s">
        <v>153</v>
      </c>
      <c r="P560" s="68" t="s">
        <v>1939</v>
      </c>
      <c r="Q560" s="68" t="s">
        <v>82</v>
      </c>
      <c r="R560" s="68" t="s">
        <v>19</v>
      </c>
      <c r="S560" s="68" t="s">
        <v>1846</v>
      </c>
      <c r="T560" s="68" t="s">
        <v>83</v>
      </c>
      <c r="U560" s="68" t="s">
        <v>61</v>
      </c>
    </row>
    <row r="561" spans="1:21" ht="33.6" thickBot="1">
      <c r="A561" s="68" t="s">
        <v>1940</v>
      </c>
      <c r="B561" s="68" t="s">
        <v>1941</v>
      </c>
      <c r="C561" s="61" t="s">
        <v>49</v>
      </c>
      <c r="D561" s="68" t="s">
        <v>1779</v>
      </c>
      <c r="E561" s="62" t="s">
        <v>19</v>
      </c>
      <c r="F561" s="57" t="s">
        <v>51</v>
      </c>
      <c r="G561" s="68" t="s">
        <v>1942</v>
      </c>
      <c r="H561" s="68"/>
      <c r="I561" s="68"/>
      <c r="J561" s="58" t="s">
        <v>465</v>
      </c>
      <c r="K561" s="58" t="s">
        <v>54</v>
      </c>
      <c r="L561" s="58" t="s">
        <v>288</v>
      </c>
      <c r="M561" s="68" t="s">
        <v>1752</v>
      </c>
      <c r="N561" s="68"/>
      <c r="O561" s="68" t="s">
        <v>113</v>
      </c>
      <c r="P561" s="68" t="s">
        <v>1943</v>
      </c>
      <c r="Q561" s="68" t="s">
        <v>82</v>
      </c>
      <c r="R561" s="68" t="s">
        <v>21</v>
      </c>
      <c r="S561" s="68" t="s">
        <v>1868</v>
      </c>
      <c r="T561" s="68" t="s">
        <v>60</v>
      </c>
      <c r="U561" s="68" t="s">
        <v>61</v>
      </c>
    </row>
    <row r="562" spans="1:21" ht="33.6" thickBot="1">
      <c r="A562" s="68" t="s">
        <v>1944</v>
      </c>
      <c r="B562" s="68" t="s">
        <v>1945</v>
      </c>
      <c r="C562" s="61" t="s">
        <v>49</v>
      </c>
      <c r="D562" s="68" t="s">
        <v>1779</v>
      </c>
      <c r="E562" s="62" t="s">
        <v>19</v>
      </c>
      <c r="F562" s="57" t="s">
        <v>51</v>
      </c>
      <c r="G562" s="68" t="s">
        <v>1946</v>
      </c>
      <c r="H562" s="68"/>
      <c r="I562" s="68"/>
      <c r="J562" s="58" t="s">
        <v>465</v>
      </c>
      <c r="K562" s="58" t="s">
        <v>54</v>
      </c>
      <c r="L562" s="58" t="s">
        <v>288</v>
      </c>
      <c r="M562" s="68" t="s">
        <v>1757</v>
      </c>
      <c r="N562" s="68"/>
      <c r="O562" s="68" t="s">
        <v>103</v>
      </c>
      <c r="P562" s="68" t="s">
        <v>1758</v>
      </c>
      <c r="Q562" s="68" t="s">
        <v>82</v>
      </c>
      <c r="R562" s="68" t="s">
        <v>21</v>
      </c>
      <c r="S562" s="68" t="s">
        <v>1846</v>
      </c>
      <c r="T562" s="68" t="s">
        <v>83</v>
      </c>
      <c r="U562" s="68" t="s">
        <v>61</v>
      </c>
    </row>
    <row r="563" spans="1:21" ht="33.6" thickBot="1">
      <c r="A563" s="68" t="s">
        <v>1947</v>
      </c>
      <c r="B563" s="68" t="s">
        <v>1948</v>
      </c>
      <c r="C563" s="61" t="s">
        <v>49</v>
      </c>
      <c r="D563" s="68" t="s">
        <v>1779</v>
      </c>
      <c r="E563" s="62" t="s">
        <v>19</v>
      </c>
      <c r="F563" s="57" t="s">
        <v>51</v>
      </c>
      <c r="G563" s="68" t="s">
        <v>1949</v>
      </c>
      <c r="H563" s="68"/>
      <c r="I563" s="68"/>
      <c r="J563" s="58" t="s">
        <v>465</v>
      </c>
      <c r="K563" s="58" t="s">
        <v>54</v>
      </c>
      <c r="L563" s="58" t="s">
        <v>288</v>
      </c>
      <c r="M563" s="68" t="s">
        <v>1762</v>
      </c>
      <c r="N563" s="68"/>
      <c r="O563" s="68" t="s">
        <v>166</v>
      </c>
      <c r="P563" s="68" t="s">
        <v>1950</v>
      </c>
      <c r="Q563" s="68" t="s">
        <v>82</v>
      </c>
      <c r="R563" s="68" t="s">
        <v>21</v>
      </c>
      <c r="S563" s="68" t="s">
        <v>1804</v>
      </c>
      <c r="T563" s="68" t="s">
        <v>119</v>
      </c>
      <c r="U563" s="68" t="s">
        <v>61</v>
      </c>
    </row>
    <row r="564" spans="1:21" ht="33.6" thickBot="1">
      <c r="A564" s="68" t="s">
        <v>1951</v>
      </c>
      <c r="B564" s="68" t="s">
        <v>1952</v>
      </c>
      <c r="C564" s="61" t="s">
        <v>49</v>
      </c>
      <c r="D564" s="68" t="s">
        <v>1779</v>
      </c>
      <c r="E564" s="62" t="s">
        <v>19</v>
      </c>
      <c r="F564" s="57" t="s">
        <v>51</v>
      </c>
      <c r="G564" s="68" t="s">
        <v>236</v>
      </c>
      <c r="H564" s="68"/>
      <c r="I564" s="68"/>
      <c r="J564" s="58" t="s">
        <v>465</v>
      </c>
      <c r="K564" s="58" t="s">
        <v>54</v>
      </c>
      <c r="L564" s="58" t="s">
        <v>288</v>
      </c>
      <c r="M564" s="68" t="s">
        <v>228</v>
      </c>
      <c r="N564" s="68"/>
      <c r="O564" s="68" t="s">
        <v>232</v>
      </c>
      <c r="P564" s="68" t="s">
        <v>1953</v>
      </c>
      <c r="Q564" s="68" t="s">
        <v>82</v>
      </c>
      <c r="R564" s="68" t="s">
        <v>21</v>
      </c>
      <c r="S564" s="68" t="s">
        <v>1813</v>
      </c>
      <c r="T564" s="68" t="s">
        <v>141</v>
      </c>
      <c r="U564" s="68" t="s">
        <v>61</v>
      </c>
    </row>
    <row r="565" spans="1:21" ht="33.6" thickBot="1">
      <c r="A565" s="68" t="s">
        <v>1954</v>
      </c>
      <c r="B565" s="68" t="s">
        <v>1955</v>
      </c>
      <c r="C565" s="61" t="s">
        <v>49</v>
      </c>
      <c r="D565" s="68" t="s">
        <v>1779</v>
      </c>
      <c r="E565" s="62" t="s">
        <v>19</v>
      </c>
      <c r="F565" s="57" t="s">
        <v>51</v>
      </c>
      <c r="G565" s="68" t="s">
        <v>1956</v>
      </c>
      <c r="H565" s="68"/>
      <c r="I565" s="68"/>
      <c r="J565" s="58" t="s">
        <v>465</v>
      </c>
      <c r="K565" s="58" t="s">
        <v>54</v>
      </c>
      <c r="L565" s="58" t="s">
        <v>288</v>
      </c>
      <c r="M565" s="68" t="s">
        <v>1771</v>
      </c>
      <c r="N565" s="68"/>
      <c r="O565" s="68" t="s">
        <v>153</v>
      </c>
      <c r="P565" s="68" t="s">
        <v>1772</v>
      </c>
      <c r="Q565" s="68" t="s">
        <v>82</v>
      </c>
      <c r="R565" s="68" t="s">
        <v>19</v>
      </c>
      <c r="S565" s="68" t="s">
        <v>1818</v>
      </c>
      <c r="T565" s="68" t="s">
        <v>60</v>
      </c>
      <c r="U565" s="68" t="s">
        <v>61</v>
      </c>
    </row>
    <row r="566" spans="1:21" ht="33.6" thickBot="1">
      <c r="A566" s="68" t="s">
        <v>1957</v>
      </c>
      <c r="B566" s="68" t="s">
        <v>1958</v>
      </c>
      <c r="C566" s="61" t="s">
        <v>49</v>
      </c>
      <c r="D566" s="68" t="s">
        <v>1779</v>
      </c>
      <c r="E566" s="62" t="s">
        <v>19</v>
      </c>
      <c r="F566" s="57" t="s">
        <v>51</v>
      </c>
      <c r="G566" s="68" t="s">
        <v>1696</v>
      </c>
      <c r="H566" s="68"/>
      <c r="I566" s="68"/>
      <c r="J566" s="58" t="s">
        <v>465</v>
      </c>
      <c r="K566" s="58" t="s">
        <v>54</v>
      </c>
      <c r="L566" s="58" t="s">
        <v>288</v>
      </c>
      <c r="M566" s="68" t="s">
        <v>1775</v>
      </c>
      <c r="N566" s="68"/>
      <c r="O566" s="68" t="s">
        <v>108</v>
      </c>
      <c r="P566" s="68" t="s">
        <v>1959</v>
      </c>
      <c r="Q566" s="68" t="s">
        <v>82</v>
      </c>
      <c r="R566" s="68" t="s">
        <v>19</v>
      </c>
      <c r="S566" s="68" t="s">
        <v>1785</v>
      </c>
      <c r="T566" s="68" t="s">
        <v>141</v>
      </c>
      <c r="U566" s="68" t="s">
        <v>61</v>
      </c>
    </row>
    <row r="567" spans="1:21" ht="33.6" thickBot="1">
      <c r="A567" s="68" t="s">
        <v>1960</v>
      </c>
      <c r="B567" s="68" t="s">
        <v>1961</v>
      </c>
      <c r="C567" s="61" t="s">
        <v>49</v>
      </c>
      <c r="D567" s="68" t="s">
        <v>1779</v>
      </c>
      <c r="E567" s="68" t="s">
        <v>21</v>
      </c>
      <c r="F567" s="68" t="s">
        <v>51</v>
      </c>
      <c r="G567" s="68" t="s">
        <v>464</v>
      </c>
      <c r="H567" s="68"/>
      <c r="I567" s="68"/>
      <c r="J567" s="58" t="s">
        <v>465</v>
      </c>
      <c r="K567" s="58" t="s">
        <v>54</v>
      </c>
      <c r="L567" s="58" t="s">
        <v>288</v>
      </c>
      <c r="M567" s="68" t="s">
        <v>1548</v>
      </c>
      <c r="N567" s="68"/>
      <c r="O567" s="68" t="s">
        <v>103</v>
      </c>
      <c r="P567" s="68" t="s">
        <v>1962</v>
      </c>
      <c r="Q567" s="68" t="s">
        <v>89</v>
      </c>
      <c r="R567" s="68" t="s">
        <v>19</v>
      </c>
      <c r="S567" s="68" t="s">
        <v>1963</v>
      </c>
      <c r="T567" s="68" t="s">
        <v>60</v>
      </c>
      <c r="U567" s="68" t="s">
        <v>61</v>
      </c>
    </row>
    <row r="568" spans="1:21" ht="33.6" thickBot="1">
      <c r="A568" s="68" t="s">
        <v>1964</v>
      </c>
      <c r="B568" s="68" t="s">
        <v>1965</v>
      </c>
      <c r="C568" s="61" t="s">
        <v>49</v>
      </c>
      <c r="D568" s="68" t="s">
        <v>1966</v>
      </c>
      <c r="E568" s="68" t="s">
        <v>21</v>
      </c>
      <c r="F568" s="68" t="s">
        <v>51</v>
      </c>
      <c r="G568" s="68" t="s">
        <v>1967</v>
      </c>
      <c r="H568" s="68"/>
      <c r="I568" s="68"/>
      <c r="J568" s="58" t="s">
        <v>465</v>
      </c>
      <c r="K568" s="58" t="s">
        <v>54</v>
      </c>
      <c r="L568" s="58" t="s">
        <v>288</v>
      </c>
      <c r="M568" s="68" t="s">
        <v>1788</v>
      </c>
      <c r="N568" s="68"/>
      <c r="O568" s="68" t="s">
        <v>232</v>
      </c>
      <c r="P568" s="68" t="s">
        <v>1968</v>
      </c>
      <c r="Q568" s="68" t="s">
        <v>59</v>
      </c>
      <c r="R568" s="68" t="s">
        <v>21</v>
      </c>
      <c r="S568" s="68" t="s">
        <v>1558</v>
      </c>
      <c r="T568" s="68" t="s">
        <v>60</v>
      </c>
      <c r="U568" s="68" t="s">
        <v>61</v>
      </c>
    </row>
    <row r="569" spans="1:21" ht="33.6" thickBot="1">
      <c r="A569" s="68" t="s">
        <v>1969</v>
      </c>
      <c r="B569" s="68" t="s">
        <v>1970</v>
      </c>
      <c r="C569" s="61" t="s">
        <v>49</v>
      </c>
      <c r="D569" s="68" t="s">
        <v>1966</v>
      </c>
      <c r="E569" s="68" t="s">
        <v>21</v>
      </c>
      <c r="F569" s="68" t="s">
        <v>51</v>
      </c>
      <c r="G569" s="68" t="s">
        <v>1561</v>
      </c>
      <c r="H569" s="68"/>
      <c r="I569" s="68"/>
      <c r="J569" s="58" t="s">
        <v>465</v>
      </c>
      <c r="K569" s="58" t="s">
        <v>54</v>
      </c>
      <c r="L569" s="58" t="s">
        <v>288</v>
      </c>
      <c r="M569" s="68" t="s">
        <v>1793</v>
      </c>
      <c r="N569" s="68"/>
      <c r="O569" s="68" t="s">
        <v>108</v>
      </c>
      <c r="P569" s="68" t="s">
        <v>1971</v>
      </c>
      <c r="Q569" s="68" t="s">
        <v>82</v>
      </c>
      <c r="R569" s="68" t="s">
        <v>19</v>
      </c>
      <c r="S569" s="68" t="s">
        <v>1558</v>
      </c>
      <c r="T569" s="68" t="s">
        <v>60</v>
      </c>
      <c r="U569" s="68" t="s">
        <v>61</v>
      </c>
    </row>
    <row r="570" spans="1:21" ht="33.6" thickBot="1">
      <c r="A570" s="68" t="s">
        <v>1972</v>
      </c>
      <c r="B570" s="68" t="s">
        <v>1973</v>
      </c>
      <c r="C570" s="61" t="s">
        <v>49</v>
      </c>
      <c r="D570" s="68" t="s">
        <v>1966</v>
      </c>
      <c r="E570" s="68" t="s">
        <v>21</v>
      </c>
      <c r="F570" s="68" t="s">
        <v>51</v>
      </c>
      <c r="G570" s="68" t="s">
        <v>1974</v>
      </c>
      <c r="H570" s="68"/>
      <c r="I570" s="68"/>
      <c r="J570" s="58" t="s">
        <v>465</v>
      </c>
      <c r="K570" s="58" t="s">
        <v>54</v>
      </c>
      <c r="L570" s="58" t="s">
        <v>288</v>
      </c>
      <c r="M570" s="68" t="s">
        <v>1975</v>
      </c>
      <c r="N570" s="68"/>
      <c r="O570" s="68" t="s">
        <v>57</v>
      </c>
      <c r="P570" s="68" t="s">
        <v>1976</v>
      </c>
      <c r="Q570" s="68" t="s">
        <v>82</v>
      </c>
      <c r="R570" s="68" t="s">
        <v>19</v>
      </c>
      <c r="S570" s="68" t="s">
        <v>1558</v>
      </c>
      <c r="T570" s="68" t="s">
        <v>60</v>
      </c>
      <c r="U570" s="68" t="s">
        <v>61</v>
      </c>
    </row>
    <row r="571" spans="1:21" ht="33.6" thickBot="1">
      <c r="A571" s="68" t="s">
        <v>1977</v>
      </c>
      <c r="B571" s="68" t="s">
        <v>1978</v>
      </c>
      <c r="C571" s="61" t="s">
        <v>49</v>
      </c>
      <c r="D571" s="68" t="s">
        <v>1966</v>
      </c>
      <c r="E571" s="68" t="s">
        <v>21</v>
      </c>
      <c r="F571" s="68" t="s">
        <v>51</v>
      </c>
      <c r="G571" s="68" t="s">
        <v>1979</v>
      </c>
      <c r="H571" s="68"/>
      <c r="I571" s="68"/>
      <c r="J571" s="58" t="s">
        <v>465</v>
      </c>
      <c r="K571" s="58" t="s">
        <v>54</v>
      </c>
      <c r="L571" s="58" t="s">
        <v>288</v>
      </c>
      <c r="M571" s="68" t="s">
        <v>1980</v>
      </c>
      <c r="N571" s="68"/>
      <c r="O571" s="68" t="s">
        <v>117</v>
      </c>
      <c r="P571" s="68" t="s">
        <v>1583</v>
      </c>
      <c r="Q571" s="68" t="s">
        <v>89</v>
      </c>
      <c r="R571" s="68" t="s">
        <v>19</v>
      </c>
      <c r="S571" s="68" t="s">
        <v>1963</v>
      </c>
      <c r="T571" s="68" t="s">
        <v>60</v>
      </c>
      <c r="U571" s="68" t="s">
        <v>61</v>
      </c>
    </row>
    <row r="572" spans="1:21" ht="33.6" thickBot="1">
      <c r="A572" s="68" t="s">
        <v>1981</v>
      </c>
      <c r="B572" s="68" t="s">
        <v>1982</v>
      </c>
      <c r="C572" s="61" t="s">
        <v>49</v>
      </c>
      <c r="D572" s="68" t="s">
        <v>1966</v>
      </c>
      <c r="E572" s="68" t="s">
        <v>21</v>
      </c>
      <c r="F572" s="68" t="s">
        <v>51</v>
      </c>
      <c r="G572" s="68" t="s">
        <v>1983</v>
      </c>
      <c r="H572" s="68"/>
      <c r="I572" s="68"/>
      <c r="J572" s="58" t="s">
        <v>465</v>
      </c>
      <c r="K572" s="58" t="s">
        <v>54</v>
      </c>
      <c r="L572" s="58" t="s">
        <v>288</v>
      </c>
      <c r="M572" s="68" t="s">
        <v>1984</v>
      </c>
      <c r="N572" s="68"/>
      <c r="O572" s="68" t="s">
        <v>87</v>
      </c>
      <c r="P572" s="68" t="s">
        <v>1985</v>
      </c>
      <c r="Q572" s="68" t="s">
        <v>89</v>
      </c>
      <c r="R572" s="68" t="s">
        <v>19</v>
      </c>
      <c r="S572" s="68" t="s">
        <v>1963</v>
      </c>
      <c r="T572" s="68" t="s">
        <v>60</v>
      </c>
      <c r="U572" s="68" t="s">
        <v>61</v>
      </c>
    </row>
    <row r="573" spans="1:21" ht="33.6" thickBot="1">
      <c r="A573" s="68" t="s">
        <v>1986</v>
      </c>
      <c r="B573" s="68" t="s">
        <v>1987</v>
      </c>
      <c r="C573" s="61" t="s">
        <v>49</v>
      </c>
      <c r="D573" s="68" t="s">
        <v>1966</v>
      </c>
      <c r="E573" s="68" t="s">
        <v>21</v>
      </c>
      <c r="F573" s="68" t="s">
        <v>51</v>
      </c>
      <c r="G573" s="68" t="s">
        <v>1988</v>
      </c>
      <c r="H573" s="68"/>
      <c r="I573" s="68"/>
      <c r="J573" s="58" t="s">
        <v>465</v>
      </c>
      <c r="K573" s="58" t="s">
        <v>54</v>
      </c>
      <c r="L573" s="58" t="s">
        <v>288</v>
      </c>
      <c r="M573" s="68" t="s">
        <v>1989</v>
      </c>
      <c r="N573" s="68"/>
      <c r="O573" s="68" t="s">
        <v>123</v>
      </c>
      <c r="P573" s="68" t="s">
        <v>1808</v>
      </c>
      <c r="Q573" s="68" t="s">
        <v>82</v>
      </c>
      <c r="R573" s="68" t="s">
        <v>21</v>
      </c>
      <c r="S573" s="68" t="s">
        <v>1990</v>
      </c>
      <c r="T573" s="68" t="s">
        <v>60</v>
      </c>
      <c r="U573" s="68" t="s">
        <v>61</v>
      </c>
    </row>
    <row r="574" spans="1:21" ht="33.6" thickBot="1">
      <c r="A574" s="68" t="s">
        <v>1991</v>
      </c>
      <c r="B574" s="68" t="s">
        <v>1992</v>
      </c>
      <c r="C574" s="61" t="s">
        <v>49</v>
      </c>
      <c r="D574" s="68" t="s">
        <v>1966</v>
      </c>
      <c r="E574" s="68" t="s">
        <v>21</v>
      </c>
      <c r="F574" s="68" t="s">
        <v>51</v>
      </c>
      <c r="G574" s="68" t="s">
        <v>1993</v>
      </c>
      <c r="H574" s="68"/>
      <c r="I574" s="68"/>
      <c r="J574" s="58" t="s">
        <v>465</v>
      </c>
      <c r="K574" s="58" t="s">
        <v>54</v>
      </c>
      <c r="L574" s="58" t="s">
        <v>288</v>
      </c>
      <c r="M574" s="68" t="s">
        <v>1994</v>
      </c>
      <c r="N574" s="68"/>
      <c r="O574" s="68" t="s">
        <v>103</v>
      </c>
      <c r="P574" s="68" t="s">
        <v>1593</v>
      </c>
      <c r="Q574" s="68" t="s">
        <v>82</v>
      </c>
      <c r="R574" s="68" t="s">
        <v>19</v>
      </c>
      <c r="S574" s="68" t="s">
        <v>1558</v>
      </c>
      <c r="T574" s="68" t="s">
        <v>119</v>
      </c>
      <c r="U574" s="68" t="s">
        <v>61</v>
      </c>
    </row>
    <row r="575" spans="1:21" ht="33.6" thickBot="1">
      <c r="A575" s="68" t="s">
        <v>1995</v>
      </c>
      <c r="B575" s="68" t="s">
        <v>1996</v>
      </c>
      <c r="C575" s="61" t="s">
        <v>49</v>
      </c>
      <c r="D575" s="68" t="s">
        <v>1966</v>
      </c>
      <c r="E575" s="68" t="s">
        <v>21</v>
      </c>
      <c r="F575" s="68" t="s">
        <v>51</v>
      </c>
      <c r="G575" s="68" t="s">
        <v>1997</v>
      </c>
      <c r="H575" s="68"/>
      <c r="I575" s="68"/>
      <c r="J575" s="58" t="s">
        <v>465</v>
      </c>
      <c r="K575" s="58" t="s">
        <v>54</v>
      </c>
      <c r="L575" s="58" t="s">
        <v>288</v>
      </c>
      <c r="M575" s="68" t="s">
        <v>1998</v>
      </c>
      <c r="N575" s="68"/>
      <c r="O575" s="68" t="s">
        <v>153</v>
      </c>
      <c r="P575" s="68" t="s">
        <v>1999</v>
      </c>
      <c r="Q575" s="68" t="s">
        <v>82</v>
      </c>
      <c r="R575" s="68" t="s">
        <v>19</v>
      </c>
      <c r="S575" s="68" t="s">
        <v>2000</v>
      </c>
      <c r="T575" s="68" t="s">
        <v>60</v>
      </c>
      <c r="U575" s="68" t="s">
        <v>61</v>
      </c>
    </row>
    <row r="576" spans="1:21" ht="33.6" thickBot="1">
      <c r="A576" s="68" t="s">
        <v>1963</v>
      </c>
      <c r="B576" s="68" t="s">
        <v>2001</v>
      </c>
      <c r="C576" s="61" t="s">
        <v>49</v>
      </c>
      <c r="D576" s="68" t="s">
        <v>1966</v>
      </c>
      <c r="E576" s="68" t="s">
        <v>21</v>
      </c>
      <c r="F576" s="68" t="s">
        <v>51</v>
      </c>
      <c r="G576" s="68" t="s">
        <v>2002</v>
      </c>
      <c r="H576" s="68"/>
      <c r="I576" s="68"/>
      <c r="J576" s="58" t="s">
        <v>465</v>
      </c>
      <c r="K576" s="58" t="s">
        <v>54</v>
      </c>
      <c r="L576" s="58" t="s">
        <v>288</v>
      </c>
      <c r="M576" s="68" t="s">
        <v>2003</v>
      </c>
      <c r="N576" s="68"/>
      <c r="O576" s="68" t="s">
        <v>103</v>
      </c>
      <c r="P576" s="68" t="s">
        <v>2004</v>
      </c>
      <c r="Q576" s="68" t="s">
        <v>82</v>
      </c>
      <c r="R576" s="68" t="s">
        <v>19</v>
      </c>
      <c r="S576" s="68" t="s">
        <v>1558</v>
      </c>
      <c r="T576" s="68" t="s">
        <v>60</v>
      </c>
      <c r="U576" s="68" t="s">
        <v>61</v>
      </c>
    </row>
    <row r="577" spans="1:21" ht="33.6" thickBot="1">
      <c r="A577" s="68" t="s">
        <v>1990</v>
      </c>
      <c r="B577" s="68" t="s">
        <v>2005</v>
      </c>
      <c r="C577" s="61" t="s">
        <v>49</v>
      </c>
      <c r="D577" s="68" t="s">
        <v>1966</v>
      </c>
      <c r="E577" s="68" t="s">
        <v>21</v>
      </c>
      <c r="F577" s="68" t="s">
        <v>51</v>
      </c>
      <c r="G577" s="68" t="s">
        <v>2006</v>
      </c>
      <c r="H577" s="68"/>
      <c r="I577" s="68"/>
      <c r="J577" s="58" t="s">
        <v>465</v>
      </c>
      <c r="K577" s="58" t="s">
        <v>54</v>
      </c>
      <c r="L577" s="58" t="s">
        <v>288</v>
      </c>
      <c r="M577" s="68" t="s">
        <v>2007</v>
      </c>
      <c r="N577" s="68"/>
      <c r="O577" s="68" t="s">
        <v>93</v>
      </c>
      <c r="P577" s="68" t="s">
        <v>2008</v>
      </c>
      <c r="Q577" s="68" t="s">
        <v>82</v>
      </c>
      <c r="R577" s="68" t="s">
        <v>19</v>
      </c>
      <c r="S577" s="68" t="s">
        <v>1963</v>
      </c>
      <c r="T577" s="68" t="s">
        <v>60</v>
      </c>
      <c r="U577" s="68" t="s">
        <v>61</v>
      </c>
    </row>
    <row r="578" spans="1:21" ht="33.6" thickBot="1">
      <c r="A578" s="68" t="s">
        <v>2009</v>
      </c>
      <c r="B578" s="68" t="s">
        <v>2010</v>
      </c>
      <c r="C578" s="61" t="s">
        <v>49</v>
      </c>
      <c r="D578" s="68" t="s">
        <v>1966</v>
      </c>
      <c r="E578" s="68" t="s">
        <v>21</v>
      </c>
      <c r="F578" s="68" t="s">
        <v>51</v>
      </c>
      <c r="G578" s="68" t="s">
        <v>2011</v>
      </c>
      <c r="H578" s="68"/>
      <c r="I578" s="68"/>
      <c r="J578" s="58" t="s">
        <v>465</v>
      </c>
      <c r="K578" s="58" t="s">
        <v>54</v>
      </c>
      <c r="L578" s="58" t="s">
        <v>288</v>
      </c>
      <c r="M578" s="68" t="s">
        <v>2012</v>
      </c>
      <c r="N578" s="68"/>
      <c r="O578" s="68" t="s">
        <v>98</v>
      </c>
      <c r="P578" s="68" t="s">
        <v>2013</v>
      </c>
      <c r="Q578" s="68" t="s">
        <v>82</v>
      </c>
      <c r="R578" s="68" t="s">
        <v>21</v>
      </c>
      <c r="S578" s="68" t="s">
        <v>1963</v>
      </c>
      <c r="T578" s="68" t="s">
        <v>60</v>
      </c>
      <c r="U578" s="68" t="s">
        <v>61</v>
      </c>
    </row>
    <row r="579" spans="1:21" ht="17.100000000000001" thickBot="1">
      <c r="A579" s="68" t="s">
        <v>2000</v>
      </c>
      <c r="B579" s="68" t="s">
        <v>2014</v>
      </c>
      <c r="C579" s="61" t="s">
        <v>49</v>
      </c>
      <c r="D579" s="68" t="s">
        <v>1966</v>
      </c>
      <c r="E579" s="68" t="s">
        <v>21</v>
      </c>
      <c r="F579" s="68" t="s">
        <v>51</v>
      </c>
      <c r="G579" s="68" t="s">
        <v>2015</v>
      </c>
      <c r="H579" s="68"/>
      <c r="I579" s="68"/>
      <c r="J579" s="58" t="s">
        <v>465</v>
      </c>
      <c r="K579" s="58" t="s">
        <v>54</v>
      </c>
      <c r="L579" s="58" t="s">
        <v>288</v>
      </c>
      <c r="M579" s="68" t="s">
        <v>1641</v>
      </c>
      <c r="N579" s="68"/>
      <c r="O579" s="68" t="s">
        <v>153</v>
      </c>
      <c r="P579" s="68" t="s">
        <v>1833</v>
      </c>
      <c r="Q579" s="68" t="s">
        <v>82</v>
      </c>
      <c r="R579" s="68" t="s">
        <v>19</v>
      </c>
      <c r="S579" s="68" t="s">
        <v>1963</v>
      </c>
      <c r="T579" s="68" t="s">
        <v>60</v>
      </c>
      <c r="U579" s="68" t="s">
        <v>61</v>
      </c>
    </row>
    <row r="580" spans="1:21" ht="33.6" thickBot="1">
      <c r="A580" s="68" t="s">
        <v>2016</v>
      </c>
      <c r="B580" s="68" t="s">
        <v>2017</v>
      </c>
      <c r="C580" s="61" t="s">
        <v>49</v>
      </c>
      <c r="D580" s="68" t="s">
        <v>1966</v>
      </c>
      <c r="E580" s="68" t="s">
        <v>21</v>
      </c>
      <c r="F580" s="68" t="s">
        <v>51</v>
      </c>
      <c r="G580" s="68" t="s">
        <v>2018</v>
      </c>
      <c r="H580" s="68"/>
      <c r="I580" s="68"/>
      <c r="J580" s="58" t="s">
        <v>465</v>
      </c>
      <c r="K580" s="58" t="s">
        <v>54</v>
      </c>
      <c r="L580" s="58" t="s">
        <v>288</v>
      </c>
      <c r="M580" s="68" t="s">
        <v>2019</v>
      </c>
      <c r="N580" s="68"/>
      <c r="O580" s="68" t="s">
        <v>117</v>
      </c>
      <c r="P580" s="68" t="s">
        <v>2020</v>
      </c>
      <c r="Q580" s="68" t="s">
        <v>82</v>
      </c>
      <c r="R580" s="68" t="s">
        <v>19</v>
      </c>
      <c r="S580" s="68" t="s">
        <v>1558</v>
      </c>
      <c r="T580" s="68" t="s">
        <v>60</v>
      </c>
      <c r="U580" s="68" t="s">
        <v>61</v>
      </c>
    </row>
    <row r="581" spans="1:21" ht="33.6" thickBot="1">
      <c r="A581" s="68" t="s">
        <v>2021</v>
      </c>
      <c r="B581" s="68" t="s">
        <v>2022</v>
      </c>
      <c r="C581" s="61" t="s">
        <v>49</v>
      </c>
      <c r="D581" s="68" t="s">
        <v>1966</v>
      </c>
      <c r="E581" s="68" t="s">
        <v>21</v>
      </c>
      <c r="F581" s="68" t="s">
        <v>51</v>
      </c>
      <c r="G581" s="68" t="s">
        <v>2023</v>
      </c>
      <c r="H581" s="68"/>
      <c r="I581" s="68"/>
      <c r="J581" s="58" t="s">
        <v>465</v>
      </c>
      <c r="K581" s="58" t="s">
        <v>54</v>
      </c>
      <c r="L581" s="58" t="s">
        <v>288</v>
      </c>
      <c r="M581" s="68" t="s">
        <v>1798</v>
      </c>
      <c r="N581" s="68"/>
      <c r="O581" s="68" t="s">
        <v>103</v>
      </c>
      <c r="P581" s="68" t="s">
        <v>2024</v>
      </c>
      <c r="Q581" s="68" t="s">
        <v>82</v>
      </c>
      <c r="R581" s="68" t="s">
        <v>19</v>
      </c>
      <c r="S581" s="68" t="s">
        <v>1963</v>
      </c>
      <c r="T581" s="68" t="s">
        <v>60</v>
      </c>
      <c r="U581" s="68" t="s">
        <v>61</v>
      </c>
    </row>
    <row r="582" spans="1:21" ht="33.6" thickBot="1">
      <c r="A582" s="68" t="s">
        <v>2025</v>
      </c>
      <c r="B582" s="68" t="s">
        <v>2026</v>
      </c>
      <c r="C582" s="61" t="s">
        <v>49</v>
      </c>
      <c r="D582" s="68" t="s">
        <v>1966</v>
      </c>
      <c r="E582" s="68" t="s">
        <v>21</v>
      </c>
      <c r="F582" s="68" t="s">
        <v>51</v>
      </c>
      <c r="G582" s="68" t="s">
        <v>328</v>
      </c>
      <c r="H582" s="68"/>
      <c r="I582" s="68"/>
      <c r="J582" s="58" t="s">
        <v>465</v>
      </c>
      <c r="K582" s="58" t="s">
        <v>54</v>
      </c>
      <c r="L582" s="58" t="s">
        <v>288</v>
      </c>
      <c r="M582" s="68" t="s">
        <v>2027</v>
      </c>
      <c r="N582" s="68"/>
      <c r="O582" s="68" t="s">
        <v>113</v>
      </c>
      <c r="P582" s="68" t="s">
        <v>2028</v>
      </c>
      <c r="Q582" s="68" t="s">
        <v>82</v>
      </c>
      <c r="R582" s="68" t="s">
        <v>21</v>
      </c>
      <c r="S582" s="68" t="s">
        <v>1963</v>
      </c>
      <c r="T582" s="68" t="s">
        <v>60</v>
      </c>
      <c r="U582" s="68" t="s">
        <v>61</v>
      </c>
    </row>
    <row r="583" spans="1:21" ht="33.6" thickBot="1">
      <c r="A583" s="68" t="s">
        <v>2029</v>
      </c>
      <c r="B583" s="68" t="s">
        <v>2030</v>
      </c>
      <c r="C583" s="61" t="s">
        <v>49</v>
      </c>
      <c r="D583" s="68" t="s">
        <v>1966</v>
      </c>
      <c r="E583" s="68" t="s">
        <v>21</v>
      </c>
      <c r="F583" s="68" t="s">
        <v>51</v>
      </c>
      <c r="G583" s="68" t="s">
        <v>2031</v>
      </c>
      <c r="H583" s="68"/>
      <c r="I583" s="68"/>
      <c r="J583" s="58" t="s">
        <v>465</v>
      </c>
      <c r="K583" s="58" t="s">
        <v>54</v>
      </c>
      <c r="L583" s="58" t="s">
        <v>288</v>
      </c>
      <c r="M583" s="68" t="s">
        <v>2032</v>
      </c>
      <c r="N583" s="68"/>
      <c r="O583" s="68" t="s">
        <v>103</v>
      </c>
      <c r="P583" s="68" t="s">
        <v>2033</v>
      </c>
      <c r="Q583" s="68" t="s">
        <v>89</v>
      </c>
      <c r="R583" s="68" t="s">
        <v>19</v>
      </c>
      <c r="S583" s="68" t="s">
        <v>1963</v>
      </c>
      <c r="T583" s="68" t="s">
        <v>60</v>
      </c>
      <c r="U583" s="68" t="s">
        <v>61</v>
      </c>
    </row>
    <row r="584" spans="1:21" ht="33.6" thickBot="1">
      <c r="A584" s="68" t="s">
        <v>2034</v>
      </c>
      <c r="B584" s="68" t="s">
        <v>2035</v>
      </c>
      <c r="C584" s="61" t="s">
        <v>49</v>
      </c>
      <c r="D584" s="68" t="s">
        <v>1966</v>
      </c>
      <c r="E584" s="68" t="s">
        <v>21</v>
      </c>
      <c r="F584" s="68" t="s">
        <v>51</v>
      </c>
      <c r="G584" s="68" t="s">
        <v>2036</v>
      </c>
      <c r="H584" s="68"/>
      <c r="I584" s="68"/>
      <c r="J584" s="58" t="s">
        <v>465</v>
      </c>
      <c r="K584" s="58" t="s">
        <v>54</v>
      </c>
      <c r="L584" s="58" t="s">
        <v>288</v>
      </c>
      <c r="M584" s="68" t="s">
        <v>1710</v>
      </c>
      <c r="N584" s="68"/>
      <c r="O584" s="68" t="s">
        <v>93</v>
      </c>
      <c r="P584" s="68" t="s">
        <v>2037</v>
      </c>
      <c r="Q584" s="68" t="s">
        <v>82</v>
      </c>
      <c r="R584" s="68" t="s">
        <v>19</v>
      </c>
      <c r="S584" s="68" t="s">
        <v>1990</v>
      </c>
      <c r="T584" s="68" t="s">
        <v>60</v>
      </c>
      <c r="U584" s="68" t="s">
        <v>61</v>
      </c>
    </row>
    <row r="585" spans="1:21" ht="33.6" thickBot="1">
      <c r="A585" s="68" t="s">
        <v>2038</v>
      </c>
      <c r="B585" s="68" t="s">
        <v>2039</v>
      </c>
      <c r="C585" s="61" t="s">
        <v>49</v>
      </c>
      <c r="D585" s="68" t="s">
        <v>1966</v>
      </c>
      <c r="E585" s="68" t="s">
        <v>21</v>
      </c>
      <c r="F585" s="68" t="s">
        <v>51</v>
      </c>
      <c r="G585" s="68" t="s">
        <v>2040</v>
      </c>
      <c r="H585" s="68"/>
      <c r="I585" s="68"/>
      <c r="J585" s="58" t="s">
        <v>465</v>
      </c>
      <c r="K585" s="58" t="s">
        <v>54</v>
      </c>
      <c r="L585" s="58" t="s">
        <v>288</v>
      </c>
      <c r="M585" s="68" t="s">
        <v>1863</v>
      </c>
      <c r="N585" s="68"/>
      <c r="O585" s="68" t="s">
        <v>87</v>
      </c>
      <c r="P585" s="68" t="s">
        <v>1999</v>
      </c>
      <c r="Q585" s="68" t="s">
        <v>89</v>
      </c>
      <c r="R585" s="68" t="s">
        <v>19</v>
      </c>
      <c r="S585" s="68" t="s">
        <v>1990</v>
      </c>
      <c r="T585" s="68" t="s">
        <v>60</v>
      </c>
      <c r="U585" s="68" t="s">
        <v>61</v>
      </c>
    </row>
    <row r="586" spans="1:21" ht="33.6" thickBot="1">
      <c r="A586" s="68" t="s">
        <v>2041</v>
      </c>
      <c r="B586" s="68" t="s">
        <v>2042</v>
      </c>
      <c r="C586" s="61" t="s">
        <v>49</v>
      </c>
      <c r="D586" s="68" t="s">
        <v>1966</v>
      </c>
      <c r="E586" s="68" t="s">
        <v>21</v>
      </c>
      <c r="F586" s="68" t="s">
        <v>51</v>
      </c>
      <c r="G586" s="68" t="s">
        <v>2043</v>
      </c>
      <c r="H586" s="68"/>
      <c r="I586" s="68"/>
      <c r="J586" s="58" t="s">
        <v>465</v>
      </c>
      <c r="K586" s="58" t="s">
        <v>54</v>
      </c>
      <c r="L586" s="58" t="s">
        <v>288</v>
      </c>
      <c r="M586" s="68" t="s">
        <v>2044</v>
      </c>
      <c r="N586" s="68"/>
      <c r="O586" s="68" t="s">
        <v>113</v>
      </c>
      <c r="P586" s="68" t="s">
        <v>2045</v>
      </c>
      <c r="Q586" s="68" t="s">
        <v>82</v>
      </c>
      <c r="R586" s="68" t="s">
        <v>19</v>
      </c>
      <c r="S586" s="68" t="s">
        <v>2000</v>
      </c>
      <c r="T586" s="68" t="s">
        <v>83</v>
      </c>
      <c r="U586" s="68" t="s">
        <v>61</v>
      </c>
    </row>
    <row r="587" spans="1:21" ht="33.6" thickBot="1">
      <c r="A587" s="68" t="s">
        <v>2046</v>
      </c>
      <c r="B587" s="68" t="s">
        <v>2047</v>
      </c>
      <c r="C587" s="61" t="s">
        <v>49</v>
      </c>
      <c r="D587" s="68" t="s">
        <v>1966</v>
      </c>
      <c r="E587" s="68" t="s">
        <v>21</v>
      </c>
      <c r="F587" s="68" t="s">
        <v>51</v>
      </c>
      <c r="G587" s="68" t="s">
        <v>2048</v>
      </c>
      <c r="H587" s="68"/>
      <c r="I587" s="68"/>
      <c r="J587" s="58" t="s">
        <v>465</v>
      </c>
      <c r="K587" s="58" t="s">
        <v>54</v>
      </c>
      <c r="L587" s="58" t="s">
        <v>288</v>
      </c>
      <c r="M587" s="68" t="s">
        <v>1715</v>
      </c>
      <c r="N587" s="68"/>
      <c r="O587" s="68" t="s">
        <v>153</v>
      </c>
      <c r="P587" s="68" t="s">
        <v>2049</v>
      </c>
      <c r="Q587" s="68" t="s">
        <v>82</v>
      </c>
      <c r="R587" s="68" t="s">
        <v>21</v>
      </c>
      <c r="S587" s="68" t="s">
        <v>2009</v>
      </c>
      <c r="T587" s="68" t="s">
        <v>60</v>
      </c>
      <c r="U587" s="68" t="s">
        <v>61</v>
      </c>
    </row>
    <row r="588" spans="1:21" ht="33.6" thickBot="1">
      <c r="A588" s="68" t="s">
        <v>2050</v>
      </c>
      <c r="B588" s="68" t="s">
        <v>2051</v>
      </c>
      <c r="C588" s="61" t="s">
        <v>49</v>
      </c>
      <c r="D588" s="68" t="s">
        <v>1966</v>
      </c>
      <c r="E588" s="68" t="s">
        <v>21</v>
      </c>
      <c r="F588" s="68" t="s">
        <v>51</v>
      </c>
      <c r="G588" s="68" t="s">
        <v>170</v>
      </c>
      <c r="H588" s="68"/>
      <c r="I588" s="68"/>
      <c r="J588" s="58" t="s">
        <v>465</v>
      </c>
      <c r="K588" s="58" t="s">
        <v>54</v>
      </c>
      <c r="L588" s="58" t="s">
        <v>288</v>
      </c>
      <c r="M588" s="68" t="s">
        <v>2052</v>
      </c>
      <c r="N588" s="68"/>
      <c r="O588" s="68" t="s">
        <v>57</v>
      </c>
      <c r="P588" s="68" t="s">
        <v>2053</v>
      </c>
      <c r="Q588" s="68" t="s">
        <v>82</v>
      </c>
      <c r="R588" s="68" t="s">
        <v>19</v>
      </c>
      <c r="S588" s="68" t="s">
        <v>1990</v>
      </c>
      <c r="T588" s="68" t="s">
        <v>83</v>
      </c>
      <c r="U588" s="68" t="s">
        <v>61</v>
      </c>
    </row>
    <row r="589" spans="1:21" ht="33.6" thickBot="1">
      <c r="A589" s="68" t="s">
        <v>2054</v>
      </c>
      <c r="B589" s="68" t="s">
        <v>2055</v>
      </c>
      <c r="C589" s="61" t="s">
        <v>49</v>
      </c>
      <c r="D589" s="68" t="s">
        <v>1966</v>
      </c>
      <c r="E589" s="68" t="s">
        <v>21</v>
      </c>
      <c r="F589" s="68" t="s">
        <v>51</v>
      </c>
      <c r="G589" s="68" t="s">
        <v>2056</v>
      </c>
      <c r="H589" s="68"/>
      <c r="I589" s="68"/>
      <c r="J589" s="58" t="s">
        <v>465</v>
      </c>
      <c r="K589" s="58" t="s">
        <v>54</v>
      </c>
      <c r="L589" s="58" t="s">
        <v>288</v>
      </c>
      <c r="M589" s="68" t="s">
        <v>1659</v>
      </c>
      <c r="N589" s="68"/>
      <c r="O589" s="68" t="s">
        <v>103</v>
      </c>
      <c r="P589" s="68" t="s">
        <v>2057</v>
      </c>
      <c r="Q589" s="68" t="s">
        <v>82</v>
      </c>
      <c r="R589" s="68" t="s">
        <v>19</v>
      </c>
      <c r="S589" s="68" t="s">
        <v>1963</v>
      </c>
      <c r="T589" s="68" t="s">
        <v>60</v>
      </c>
      <c r="U589" s="68" t="s">
        <v>61</v>
      </c>
    </row>
    <row r="590" spans="1:21" ht="33.6" thickBot="1">
      <c r="A590" s="68" t="s">
        <v>2058</v>
      </c>
      <c r="B590" s="68" t="s">
        <v>2059</v>
      </c>
      <c r="C590" s="61" t="s">
        <v>49</v>
      </c>
      <c r="D590" s="68" t="s">
        <v>1966</v>
      </c>
      <c r="E590" s="68" t="s">
        <v>21</v>
      </c>
      <c r="F590" s="68" t="s">
        <v>51</v>
      </c>
      <c r="G590" s="68" t="s">
        <v>2060</v>
      </c>
      <c r="H590" s="68"/>
      <c r="I590" s="68"/>
      <c r="J590" s="58" t="s">
        <v>465</v>
      </c>
      <c r="K590" s="58" t="s">
        <v>54</v>
      </c>
      <c r="L590" s="58" t="s">
        <v>288</v>
      </c>
      <c r="M590" s="68" t="s">
        <v>2061</v>
      </c>
      <c r="N590" s="68"/>
      <c r="O590" s="68" t="s">
        <v>166</v>
      </c>
      <c r="P590" s="68" t="s">
        <v>2062</v>
      </c>
      <c r="Q590" s="68" t="s">
        <v>82</v>
      </c>
      <c r="R590" s="68" t="s">
        <v>21</v>
      </c>
      <c r="S590" s="68" t="s">
        <v>1995</v>
      </c>
      <c r="T590" s="68" t="s">
        <v>60</v>
      </c>
      <c r="U590" s="68" t="s">
        <v>61</v>
      </c>
    </row>
    <row r="591" spans="1:21" ht="33.6" thickBot="1">
      <c r="A591" s="68" t="s">
        <v>2063</v>
      </c>
      <c r="B591" s="68" t="s">
        <v>2064</v>
      </c>
      <c r="C591" s="61" t="s">
        <v>49</v>
      </c>
      <c r="D591" s="68" t="s">
        <v>1966</v>
      </c>
      <c r="E591" s="68" t="s">
        <v>21</v>
      </c>
      <c r="F591" s="68" t="s">
        <v>51</v>
      </c>
      <c r="G591" s="68" t="s">
        <v>1668</v>
      </c>
      <c r="H591" s="68"/>
      <c r="I591" s="68"/>
      <c r="J591" s="58" t="s">
        <v>465</v>
      </c>
      <c r="K591" s="58" t="s">
        <v>54</v>
      </c>
      <c r="L591" s="58" t="s">
        <v>288</v>
      </c>
      <c r="M591" s="68" t="s">
        <v>1669</v>
      </c>
      <c r="N591" s="68"/>
      <c r="O591" s="68" t="s">
        <v>98</v>
      </c>
      <c r="P591" s="68" t="s">
        <v>2065</v>
      </c>
      <c r="Q591" s="68" t="s">
        <v>82</v>
      </c>
      <c r="R591" s="68" t="s">
        <v>19</v>
      </c>
      <c r="S591" s="68" t="s">
        <v>1558</v>
      </c>
      <c r="T591" s="68" t="s">
        <v>119</v>
      </c>
      <c r="U591" s="68" t="s">
        <v>61</v>
      </c>
    </row>
    <row r="592" spans="1:21" ht="33.6" thickBot="1">
      <c r="A592" s="68" t="s">
        <v>2066</v>
      </c>
      <c r="B592" s="68" t="s">
        <v>1672</v>
      </c>
      <c r="C592" s="61" t="s">
        <v>49</v>
      </c>
      <c r="D592" s="68" t="s">
        <v>1966</v>
      </c>
      <c r="E592" s="68" t="s">
        <v>21</v>
      </c>
      <c r="F592" s="68" t="s">
        <v>51</v>
      </c>
      <c r="G592" s="68" t="s">
        <v>1884</v>
      </c>
      <c r="H592" s="68"/>
      <c r="I592" s="68"/>
      <c r="J592" s="58" t="s">
        <v>465</v>
      </c>
      <c r="K592" s="58" t="s">
        <v>54</v>
      </c>
      <c r="L592" s="58" t="s">
        <v>288</v>
      </c>
      <c r="M592" s="68" t="s">
        <v>2067</v>
      </c>
      <c r="N592" s="68"/>
      <c r="O592" s="68" t="s">
        <v>103</v>
      </c>
      <c r="P592" s="68" t="s">
        <v>1675</v>
      </c>
      <c r="Q592" s="68" t="s">
        <v>82</v>
      </c>
      <c r="R592" s="68" t="s">
        <v>19</v>
      </c>
      <c r="S592" s="68" t="s">
        <v>1558</v>
      </c>
      <c r="T592" s="68" t="s">
        <v>119</v>
      </c>
      <c r="U592" s="68" t="s">
        <v>61</v>
      </c>
    </row>
    <row r="593" spans="1:21" ht="33.6" thickBot="1">
      <c r="A593" s="68" t="s">
        <v>2068</v>
      </c>
      <c r="B593" s="68" t="s">
        <v>2069</v>
      </c>
      <c r="C593" s="61" t="s">
        <v>49</v>
      </c>
      <c r="D593" s="68" t="s">
        <v>1966</v>
      </c>
      <c r="E593" s="68" t="s">
        <v>21</v>
      </c>
      <c r="F593" s="68" t="s">
        <v>51</v>
      </c>
      <c r="G593" s="68" t="s">
        <v>249</v>
      </c>
      <c r="H593" s="68"/>
      <c r="I593" s="68"/>
      <c r="J593" s="58" t="s">
        <v>465</v>
      </c>
      <c r="K593" s="58" t="s">
        <v>54</v>
      </c>
      <c r="L593" s="58" t="s">
        <v>288</v>
      </c>
      <c r="M593" s="68" t="s">
        <v>1636</v>
      </c>
      <c r="N593" s="68"/>
      <c r="O593" s="68" t="s">
        <v>103</v>
      </c>
      <c r="P593" s="68" t="s">
        <v>2070</v>
      </c>
      <c r="Q593" s="68" t="s">
        <v>82</v>
      </c>
      <c r="R593" s="68" t="s">
        <v>21</v>
      </c>
      <c r="S593" s="68" t="s">
        <v>1963</v>
      </c>
      <c r="T593" s="68" t="s">
        <v>119</v>
      </c>
      <c r="U593" s="68" t="s">
        <v>61</v>
      </c>
    </row>
    <row r="594" spans="1:21" ht="33.6" thickBot="1">
      <c r="A594" s="68" t="s">
        <v>2071</v>
      </c>
      <c r="B594" s="68" t="s">
        <v>2072</v>
      </c>
      <c r="C594" s="61" t="s">
        <v>49</v>
      </c>
      <c r="D594" s="68" t="s">
        <v>1966</v>
      </c>
      <c r="E594" s="68" t="s">
        <v>21</v>
      </c>
      <c r="F594" s="68" t="s">
        <v>51</v>
      </c>
      <c r="G594" s="68" t="s">
        <v>1719</v>
      </c>
      <c r="H594" s="68"/>
      <c r="I594" s="68"/>
      <c r="J594" s="58" t="s">
        <v>465</v>
      </c>
      <c r="K594" s="58" t="s">
        <v>54</v>
      </c>
      <c r="L594" s="58" t="s">
        <v>288</v>
      </c>
      <c r="M594" s="68" t="s">
        <v>2073</v>
      </c>
      <c r="N594" s="68"/>
      <c r="O594" s="68" t="s">
        <v>113</v>
      </c>
      <c r="P594" s="68" t="s">
        <v>2074</v>
      </c>
      <c r="Q594" s="68" t="s">
        <v>82</v>
      </c>
      <c r="R594" s="68" t="s">
        <v>19</v>
      </c>
      <c r="S594" s="68" t="s">
        <v>1558</v>
      </c>
      <c r="T594" s="68" t="s">
        <v>119</v>
      </c>
      <c r="U594" s="68" t="s">
        <v>61</v>
      </c>
    </row>
    <row r="595" spans="1:21" ht="33.6" thickBot="1">
      <c r="A595" s="68" t="s">
        <v>2075</v>
      </c>
      <c r="B595" s="68" t="s">
        <v>2076</v>
      </c>
      <c r="C595" s="61" t="s">
        <v>49</v>
      </c>
      <c r="D595" s="68" t="s">
        <v>1966</v>
      </c>
      <c r="E595" s="68" t="s">
        <v>21</v>
      </c>
      <c r="F595" s="68" t="s">
        <v>51</v>
      </c>
      <c r="G595" s="68" t="s">
        <v>139</v>
      </c>
      <c r="H595" s="68"/>
      <c r="I595" s="68"/>
      <c r="J595" s="58" t="s">
        <v>465</v>
      </c>
      <c r="K595" s="58" t="s">
        <v>54</v>
      </c>
      <c r="L595" s="58" t="s">
        <v>288</v>
      </c>
      <c r="M595" s="68" t="s">
        <v>1683</v>
      </c>
      <c r="N595" s="68"/>
      <c r="O595" s="68" t="s">
        <v>93</v>
      </c>
      <c r="P595" s="68" t="s">
        <v>2077</v>
      </c>
      <c r="Q595" s="68" t="s">
        <v>82</v>
      </c>
      <c r="R595" s="68" t="s">
        <v>19</v>
      </c>
      <c r="S595" s="68" t="s">
        <v>1558</v>
      </c>
      <c r="T595" s="68" t="s">
        <v>141</v>
      </c>
      <c r="U595" s="68" t="s">
        <v>61</v>
      </c>
    </row>
    <row r="596" spans="1:21" ht="33.6" thickBot="1">
      <c r="A596" s="68" t="s">
        <v>2078</v>
      </c>
      <c r="B596" s="68" t="s">
        <v>1686</v>
      </c>
      <c r="C596" s="61" t="s">
        <v>49</v>
      </c>
      <c r="D596" s="68" t="s">
        <v>1966</v>
      </c>
      <c r="E596" s="68" t="s">
        <v>21</v>
      </c>
      <c r="F596" s="68" t="s">
        <v>51</v>
      </c>
      <c r="G596" s="68" t="s">
        <v>2079</v>
      </c>
      <c r="H596" s="68"/>
      <c r="I596" s="68"/>
      <c r="J596" s="58" t="s">
        <v>465</v>
      </c>
      <c r="K596" s="58" t="s">
        <v>54</v>
      </c>
      <c r="L596" s="58" t="s">
        <v>288</v>
      </c>
      <c r="M596" s="68" t="s">
        <v>1688</v>
      </c>
      <c r="N596" s="68"/>
      <c r="O596" s="68" t="s">
        <v>108</v>
      </c>
      <c r="P596" s="68" t="s">
        <v>1689</v>
      </c>
      <c r="Q596" s="68" t="s">
        <v>82</v>
      </c>
      <c r="R596" s="68" t="s">
        <v>19</v>
      </c>
      <c r="S596" s="68" t="s">
        <v>1969</v>
      </c>
      <c r="T596" s="68" t="s">
        <v>141</v>
      </c>
      <c r="U596" s="68" t="s">
        <v>61</v>
      </c>
    </row>
    <row r="597" spans="1:21" ht="33.6" thickBot="1">
      <c r="A597" s="68" t="s">
        <v>2080</v>
      </c>
      <c r="B597" s="68" t="s">
        <v>2081</v>
      </c>
      <c r="C597" s="61" t="s">
        <v>49</v>
      </c>
      <c r="D597" s="68" t="s">
        <v>1966</v>
      </c>
      <c r="E597" s="68" t="s">
        <v>21</v>
      </c>
      <c r="F597" s="68" t="s">
        <v>51</v>
      </c>
      <c r="G597" s="68" t="s">
        <v>211</v>
      </c>
      <c r="H597" s="68"/>
      <c r="I597" s="68"/>
      <c r="J597" s="58" t="s">
        <v>465</v>
      </c>
      <c r="K597" s="58" t="s">
        <v>54</v>
      </c>
      <c r="L597" s="58" t="s">
        <v>288</v>
      </c>
      <c r="M597" s="68" t="s">
        <v>2082</v>
      </c>
      <c r="N597" s="68"/>
      <c r="O597" s="68" t="s">
        <v>87</v>
      </c>
      <c r="P597" s="68" t="s">
        <v>2083</v>
      </c>
      <c r="Q597" s="68" t="s">
        <v>82</v>
      </c>
      <c r="R597" s="68" t="s">
        <v>19</v>
      </c>
      <c r="S597" s="68" t="s">
        <v>2041</v>
      </c>
      <c r="T597" s="68" t="s">
        <v>141</v>
      </c>
      <c r="U597" s="68" t="s">
        <v>61</v>
      </c>
    </row>
    <row r="598" spans="1:21" ht="33.6" thickBot="1">
      <c r="A598" s="68" t="s">
        <v>2084</v>
      </c>
      <c r="B598" s="68" t="s">
        <v>2085</v>
      </c>
      <c r="C598" s="61" t="s">
        <v>49</v>
      </c>
      <c r="D598" s="68" t="s">
        <v>1966</v>
      </c>
      <c r="E598" s="68" t="s">
        <v>21</v>
      </c>
      <c r="F598" s="68" t="s">
        <v>51</v>
      </c>
      <c r="G598" s="68" t="s">
        <v>2086</v>
      </c>
      <c r="H598" s="68"/>
      <c r="I598" s="68"/>
      <c r="J598" s="58" t="s">
        <v>465</v>
      </c>
      <c r="K598" s="58" t="s">
        <v>54</v>
      </c>
      <c r="L598" s="58" t="s">
        <v>288</v>
      </c>
      <c r="M598" s="68" t="s">
        <v>1616</v>
      </c>
      <c r="N598" s="68"/>
      <c r="O598" s="68" t="s">
        <v>232</v>
      </c>
      <c r="P598" s="68" t="s">
        <v>2087</v>
      </c>
      <c r="Q598" s="68" t="s">
        <v>82</v>
      </c>
      <c r="R598" s="68" t="s">
        <v>19</v>
      </c>
      <c r="S598" s="68" t="s">
        <v>1963</v>
      </c>
      <c r="T598" s="68" t="s">
        <v>141</v>
      </c>
      <c r="U598" s="68" t="s">
        <v>61</v>
      </c>
    </row>
    <row r="599" spans="1:21" ht="33.6" thickBot="1">
      <c r="A599" s="68" t="s">
        <v>2088</v>
      </c>
      <c r="B599" s="68" t="s">
        <v>1903</v>
      </c>
      <c r="C599" s="61" t="s">
        <v>49</v>
      </c>
      <c r="D599" s="68" t="s">
        <v>1966</v>
      </c>
      <c r="E599" s="68" t="s">
        <v>21</v>
      </c>
      <c r="F599" s="68" t="s">
        <v>51</v>
      </c>
      <c r="G599" s="68" t="s">
        <v>459</v>
      </c>
      <c r="H599" s="68"/>
      <c r="I599" s="68"/>
      <c r="J599" s="58" t="s">
        <v>465</v>
      </c>
      <c r="K599" s="58" t="s">
        <v>54</v>
      </c>
      <c r="L599" s="58" t="s">
        <v>288</v>
      </c>
      <c r="M599" s="68" t="s">
        <v>1701</v>
      </c>
      <c r="N599" s="68"/>
      <c r="O599" s="68" t="s">
        <v>166</v>
      </c>
      <c r="P599" s="68" t="s">
        <v>2089</v>
      </c>
      <c r="Q599" s="68" t="s">
        <v>82</v>
      </c>
      <c r="R599" s="68" t="s">
        <v>21</v>
      </c>
      <c r="S599" s="68" t="s">
        <v>1963</v>
      </c>
      <c r="T599" s="68" t="s">
        <v>60</v>
      </c>
      <c r="U599" s="68" t="s">
        <v>61</v>
      </c>
    </row>
    <row r="600" spans="1:21" ht="33.6" thickBot="1">
      <c r="A600" s="68" t="s">
        <v>2090</v>
      </c>
      <c r="B600" s="68" t="s">
        <v>2091</v>
      </c>
      <c r="C600" s="61" t="s">
        <v>49</v>
      </c>
      <c r="D600" s="68" t="s">
        <v>1966</v>
      </c>
      <c r="E600" s="68" t="s">
        <v>21</v>
      </c>
      <c r="F600" s="68" t="s">
        <v>51</v>
      </c>
      <c r="G600" s="68" t="s">
        <v>2092</v>
      </c>
      <c r="H600" s="68"/>
      <c r="I600" s="68"/>
      <c r="J600" s="58" t="s">
        <v>465</v>
      </c>
      <c r="K600" s="58" t="s">
        <v>54</v>
      </c>
      <c r="L600" s="58" t="s">
        <v>288</v>
      </c>
      <c r="M600" s="68" t="s">
        <v>1706</v>
      </c>
      <c r="N600" s="68"/>
      <c r="O600" s="68" t="s">
        <v>166</v>
      </c>
      <c r="P600" s="68" t="s">
        <v>1707</v>
      </c>
      <c r="Q600" s="68" t="s">
        <v>82</v>
      </c>
      <c r="R600" s="68" t="s">
        <v>21</v>
      </c>
      <c r="S600" s="68" t="s">
        <v>2054</v>
      </c>
      <c r="T600" s="68" t="s">
        <v>60</v>
      </c>
      <c r="U600" s="68" t="s">
        <v>61</v>
      </c>
    </row>
    <row r="601" spans="1:21" ht="17.100000000000001" thickBot="1">
      <c r="A601" s="68" t="s">
        <v>2093</v>
      </c>
      <c r="B601" s="68" t="s">
        <v>1723</v>
      </c>
      <c r="C601" s="61" t="s">
        <v>49</v>
      </c>
      <c r="D601" s="68" t="s">
        <v>1966</v>
      </c>
      <c r="E601" s="68" t="s">
        <v>21</v>
      </c>
      <c r="F601" s="68" t="s">
        <v>51</v>
      </c>
      <c r="G601" s="68" t="s">
        <v>2094</v>
      </c>
      <c r="H601" s="68"/>
      <c r="I601" s="68"/>
      <c r="J601" s="58" t="s">
        <v>465</v>
      </c>
      <c r="K601" s="58" t="s">
        <v>54</v>
      </c>
      <c r="L601" s="58" t="s">
        <v>288</v>
      </c>
      <c r="M601" s="68" t="s">
        <v>1715</v>
      </c>
      <c r="N601" s="68"/>
      <c r="O601" s="68" t="s">
        <v>153</v>
      </c>
      <c r="P601" s="68" t="s">
        <v>2095</v>
      </c>
      <c r="Q601" s="68" t="s">
        <v>82</v>
      </c>
      <c r="R601" s="68" t="s">
        <v>19</v>
      </c>
      <c r="S601" s="68" t="s">
        <v>2050</v>
      </c>
      <c r="T601" s="68" t="s">
        <v>119</v>
      </c>
      <c r="U601" s="68" t="s">
        <v>61</v>
      </c>
    </row>
    <row r="602" spans="1:21" ht="33.6" thickBot="1">
      <c r="A602" s="68" t="s">
        <v>2096</v>
      </c>
      <c r="B602" s="68" t="s">
        <v>2097</v>
      </c>
      <c r="C602" s="61" t="s">
        <v>49</v>
      </c>
      <c r="D602" s="68" t="s">
        <v>1966</v>
      </c>
      <c r="E602" s="68" t="s">
        <v>21</v>
      </c>
      <c r="F602" s="68" t="s">
        <v>51</v>
      </c>
      <c r="G602" s="68" t="s">
        <v>2098</v>
      </c>
      <c r="H602" s="68"/>
      <c r="I602" s="68"/>
      <c r="J602" s="58" t="s">
        <v>465</v>
      </c>
      <c r="K602" s="58" t="s">
        <v>54</v>
      </c>
      <c r="L602" s="58" t="s">
        <v>288</v>
      </c>
      <c r="M602" s="68" t="s">
        <v>1715</v>
      </c>
      <c r="N602" s="68"/>
      <c r="O602" s="68" t="s">
        <v>113</v>
      </c>
      <c r="P602" s="68" t="s">
        <v>2099</v>
      </c>
      <c r="Q602" s="68" t="s">
        <v>82</v>
      </c>
      <c r="R602" s="68" t="s">
        <v>19</v>
      </c>
      <c r="S602" s="68" t="s">
        <v>2000</v>
      </c>
      <c r="T602" s="68" t="s">
        <v>119</v>
      </c>
      <c r="U602" s="68" t="s">
        <v>61</v>
      </c>
    </row>
    <row r="603" spans="1:21" ht="17.100000000000001" thickBot="1">
      <c r="A603" s="68" t="s">
        <v>2100</v>
      </c>
      <c r="B603" s="68" t="s">
        <v>2101</v>
      </c>
      <c r="C603" s="61" t="s">
        <v>49</v>
      </c>
      <c r="D603" s="68" t="s">
        <v>1966</v>
      </c>
      <c r="E603" s="68" t="s">
        <v>21</v>
      </c>
      <c r="F603" s="68" t="s">
        <v>51</v>
      </c>
      <c r="G603" s="68" t="s">
        <v>1917</v>
      </c>
      <c r="H603" s="68"/>
      <c r="I603" s="68"/>
      <c r="J603" s="58" t="s">
        <v>465</v>
      </c>
      <c r="K603" s="58" t="s">
        <v>54</v>
      </c>
      <c r="L603" s="58" t="s">
        <v>288</v>
      </c>
      <c r="M603" s="68" t="s">
        <v>1720</v>
      </c>
      <c r="N603" s="68"/>
      <c r="O603" s="68" t="s">
        <v>153</v>
      </c>
      <c r="P603" s="68" t="s">
        <v>2102</v>
      </c>
      <c r="Q603" s="68" t="s">
        <v>82</v>
      </c>
      <c r="R603" s="68" t="s">
        <v>19</v>
      </c>
      <c r="S603" s="68" t="s">
        <v>2009</v>
      </c>
      <c r="T603" s="68" t="s">
        <v>119</v>
      </c>
      <c r="U603" s="68" t="s">
        <v>61</v>
      </c>
    </row>
    <row r="604" spans="1:21" ht="33.6" thickBot="1">
      <c r="A604" s="68" t="s">
        <v>2103</v>
      </c>
      <c r="B604" s="68" t="s">
        <v>2104</v>
      </c>
      <c r="C604" s="61" t="s">
        <v>49</v>
      </c>
      <c r="D604" s="68" t="s">
        <v>1966</v>
      </c>
      <c r="E604" s="68" t="s">
        <v>21</v>
      </c>
      <c r="F604" s="68" t="s">
        <v>51</v>
      </c>
      <c r="G604" s="68" t="s">
        <v>2105</v>
      </c>
      <c r="H604" s="68"/>
      <c r="I604" s="68"/>
      <c r="J604" s="58" t="s">
        <v>465</v>
      </c>
      <c r="K604" s="58" t="s">
        <v>54</v>
      </c>
      <c r="L604" s="58" t="s">
        <v>288</v>
      </c>
      <c r="M604" s="68" t="s">
        <v>1747</v>
      </c>
      <c r="N604" s="68"/>
      <c r="O604" s="68" t="s">
        <v>103</v>
      </c>
      <c r="P604" s="68" t="s">
        <v>2106</v>
      </c>
      <c r="Q604" s="68" t="s">
        <v>82</v>
      </c>
      <c r="R604" s="68" t="s">
        <v>19</v>
      </c>
      <c r="S604" s="68" t="s">
        <v>1963</v>
      </c>
      <c r="T604" s="68" t="s">
        <v>60</v>
      </c>
      <c r="U604" s="68" t="s">
        <v>61</v>
      </c>
    </row>
    <row r="605" spans="1:21" ht="33.6" thickBot="1">
      <c r="A605" s="68" t="s">
        <v>2107</v>
      </c>
      <c r="B605" s="68" t="s">
        <v>2108</v>
      </c>
      <c r="C605" s="61" t="s">
        <v>49</v>
      </c>
      <c r="D605" s="68" t="s">
        <v>1966</v>
      </c>
      <c r="E605" s="68" t="s">
        <v>21</v>
      </c>
      <c r="F605" s="68" t="s">
        <v>51</v>
      </c>
      <c r="G605" s="68" t="s">
        <v>1929</v>
      </c>
      <c r="H605" s="68"/>
      <c r="I605" s="68"/>
      <c r="J605" s="58" t="s">
        <v>465</v>
      </c>
      <c r="K605" s="58" t="s">
        <v>54</v>
      </c>
      <c r="L605" s="58" t="s">
        <v>288</v>
      </c>
      <c r="M605" s="68" t="s">
        <v>228</v>
      </c>
      <c r="N605" s="68"/>
      <c r="O605" s="68" t="s">
        <v>93</v>
      </c>
      <c r="P605" s="68" t="s">
        <v>1808</v>
      </c>
      <c r="Q605" s="68" t="s">
        <v>82</v>
      </c>
      <c r="R605" s="68" t="s">
        <v>19</v>
      </c>
      <c r="S605" s="68" t="s">
        <v>1963</v>
      </c>
      <c r="T605" s="68" t="s">
        <v>141</v>
      </c>
      <c r="U605" s="68" t="s">
        <v>61</v>
      </c>
    </row>
    <row r="606" spans="1:21" ht="33.6" thickBot="1">
      <c r="A606" s="68" t="s">
        <v>2109</v>
      </c>
      <c r="B606" s="68" t="s">
        <v>2110</v>
      </c>
      <c r="C606" s="61" t="s">
        <v>49</v>
      </c>
      <c r="D606" s="68" t="s">
        <v>1966</v>
      </c>
      <c r="E606" s="68" t="s">
        <v>21</v>
      </c>
      <c r="F606" s="68" t="s">
        <v>51</v>
      </c>
      <c r="G606" s="68" t="s">
        <v>1932</v>
      </c>
      <c r="H606" s="68"/>
      <c r="I606" s="68"/>
      <c r="J606" s="58" t="s">
        <v>465</v>
      </c>
      <c r="K606" s="58" t="s">
        <v>54</v>
      </c>
      <c r="L606" s="58" t="s">
        <v>288</v>
      </c>
      <c r="M606" s="68" t="s">
        <v>1736</v>
      </c>
      <c r="N606" s="68"/>
      <c r="O606" s="68" t="s">
        <v>166</v>
      </c>
      <c r="P606" s="68" t="s">
        <v>1737</v>
      </c>
      <c r="Q606" s="68" t="s">
        <v>82</v>
      </c>
      <c r="R606" s="68" t="s">
        <v>19</v>
      </c>
      <c r="S606" s="68" t="s">
        <v>1558</v>
      </c>
      <c r="T606" s="68" t="s">
        <v>1738</v>
      </c>
      <c r="U606" s="68" t="s">
        <v>61</v>
      </c>
    </row>
    <row r="607" spans="1:21" ht="33.6" thickBot="1">
      <c r="A607" s="68" t="s">
        <v>2111</v>
      </c>
      <c r="B607" s="68" t="s">
        <v>2112</v>
      </c>
      <c r="C607" s="61" t="s">
        <v>49</v>
      </c>
      <c r="D607" s="68" t="s">
        <v>1966</v>
      </c>
      <c r="E607" s="68" t="s">
        <v>21</v>
      </c>
      <c r="F607" s="68" t="s">
        <v>51</v>
      </c>
      <c r="G607" s="68" t="s">
        <v>2113</v>
      </c>
      <c r="H607" s="68"/>
      <c r="I607" s="68"/>
      <c r="J607" s="58" t="s">
        <v>465</v>
      </c>
      <c r="K607" s="58" t="s">
        <v>54</v>
      </c>
      <c r="L607" s="58" t="s">
        <v>288</v>
      </c>
      <c r="M607" s="68" t="s">
        <v>1936</v>
      </c>
      <c r="N607" s="68"/>
      <c r="O607" s="68" t="s">
        <v>103</v>
      </c>
      <c r="P607" s="68" t="s">
        <v>1833</v>
      </c>
      <c r="Q607" s="68" t="s">
        <v>82</v>
      </c>
      <c r="R607" s="68" t="s">
        <v>19</v>
      </c>
      <c r="S607" s="68" t="s">
        <v>1963</v>
      </c>
      <c r="T607" s="68" t="s">
        <v>60</v>
      </c>
      <c r="U607" s="68" t="s">
        <v>61</v>
      </c>
    </row>
    <row r="608" spans="1:21" ht="33.6" thickBot="1">
      <c r="A608" s="68" t="s">
        <v>2114</v>
      </c>
      <c r="B608" s="68" t="s">
        <v>2115</v>
      </c>
      <c r="C608" s="61" t="s">
        <v>49</v>
      </c>
      <c r="D608" s="68" t="s">
        <v>1966</v>
      </c>
      <c r="E608" s="68" t="s">
        <v>21</v>
      </c>
      <c r="F608" s="68" t="s">
        <v>51</v>
      </c>
      <c r="G608" s="68" t="s">
        <v>2116</v>
      </c>
      <c r="H608" s="68"/>
      <c r="I608" s="68"/>
      <c r="J608" s="58" t="s">
        <v>465</v>
      </c>
      <c r="K608" s="58" t="s">
        <v>54</v>
      </c>
      <c r="L608" s="58" t="s">
        <v>288</v>
      </c>
      <c r="M608" s="68" t="s">
        <v>1936</v>
      </c>
      <c r="N608" s="68"/>
      <c r="O608" s="68" t="s">
        <v>113</v>
      </c>
      <c r="P608" s="68" t="s">
        <v>2117</v>
      </c>
      <c r="Q608" s="68" t="s">
        <v>82</v>
      </c>
      <c r="R608" s="68" t="s">
        <v>19</v>
      </c>
      <c r="S608" s="68" t="s">
        <v>2041</v>
      </c>
      <c r="T608" s="68" t="s">
        <v>83</v>
      </c>
      <c r="U608" s="68" t="s">
        <v>61</v>
      </c>
    </row>
    <row r="609" spans="1:21" ht="33.6" thickBot="1">
      <c r="A609" s="68" t="s">
        <v>2118</v>
      </c>
      <c r="B609" s="68" t="s">
        <v>2119</v>
      </c>
      <c r="C609" s="61" t="s">
        <v>49</v>
      </c>
      <c r="D609" s="68" t="s">
        <v>1966</v>
      </c>
      <c r="E609" s="68" t="s">
        <v>21</v>
      </c>
      <c r="F609" s="68" t="s">
        <v>51</v>
      </c>
      <c r="G609" s="68" t="s">
        <v>1942</v>
      </c>
      <c r="H609" s="68"/>
      <c r="I609" s="68"/>
      <c r="J609" s="58" t="s">
        <v>465</v>
      </c>
      <c r="K609" s="58" t="s">
        <v>54</v>
      </c>
      <c r="L609" s="58" t="s">
        <v>288</v>
      </c>
      <c r="M609" s="68" t="s">
        <v>1752</v>
      </c>
      <c r="N609" s="68"/>
      <c r="O609" s="68" t="s">
        <v>113</v>
      </c>
      <c r="P609" s="68" t="s">
        <v>2120</v>
      </c>
      <c r="Q609" s="68" t="s">
        <v>82</v>
      </c>
      <c r="R609" s="68" t="s">
        <v>21</v>
      </c>
      <c r="S609" s="68" t="s">
        <v>2054</v>
      </c>
      <c r="T609" s="68" t="s">
        <v>60</v>
      </c>
      <c r="U609" s="68" t="s">
        <v>61</v>
      </c>
    </row>
    <row r="610" spans="1:21" ht="33.6" thickBot="1">
      <c r="A610" s="68" t="s">
        <v>2121</v>
      </c>
      <c r="B610" s="68" t="s">
        <v>2122</v>
      </c>
      <c r="C610" s="61" t="s">
        <v>49</v>
      </c>
      <c r="D610" s="68" t="s">
        <v>1966</v>
      </c>
      <c r="E610" s="68" t="s">
        <v>21</v>
      </c>
      <c r="F610" s="68" t="s">
        <v>51</v>
      </c>
      <c r="G610" s="68" t="s">
        <v>2123</v>
      </c>
      <c r="H610" s="68"/>
      <c r="I610" s="68"/>
      <c r="J610" s="58" t="s">
        <v>465</v>
      </c>
      <c r="K610" s="58" t="s">
        <v>54</v>
      </c>
      <c r="L610" s="58" t="s">
        <v>288</v>
      </c>
      <c r="M610" s="68" t="s">
        <v>1757</v>
      </c>
      <c r="N610" s="68"/>
      <c r="O610" s="68" t="s">
        <v>103</v>
      </c>
      <c r="P610" s="68" t="s">
        <v>2124</v>
      </c>
      <c r="Q610" s="68" t="s">
        <v>82</v>
      </c>
      <c r="R610" s="68" t="s">
        <v>21</v>
      </c>
      <c r="S610" s="68" t="s">
        <v>2041</v>
      </c>
      <c r="T610" s="68" t="s">
        <v>83</v>
      </c>
      <c r="U610" s="68" t="s">
        <v>61</v>
      </c>
    </row>
    <row r="611" spans="1:21" ht="33.6" thickBot="1">
      <c r="A611" s="68" t="s">
        <v>2125</v>
      </c>
      <c r="B611" s="68" t="s">
        <v>1948</v>
      </c>
      <c r="C611" s="61" t="s">
        <v>49</v>
      </c>
      <c r="D611" s="68" t="s">
        <v>1966</v>
      </c>
      <c r="E611" s="68" t="s">
        <v>21</v>
      </c>
      <c r="F611" s="68" t="s">
        <v>51</v>
      </c>
      <c r="G611" s="68" t="s">
        <v>2126</v>
      </c>
      <c r="H611" s="68"/>
      <c r="I611" s="68"/>
      <c r="J611" s="58" t="s">
        <v>465</v>
      </c>
      <c r="K611" s="58" t="s">
        <v>54</v>
      </c>
      <c r="L611" s="58" t="s">
        <v>288</v>
      </c>
      <c r="M611" s="68" t="s">
        <v>1762</v>
      </c>
      <c r="N611" s="68"/>
      <c r="O611" s="68" t="s">
        <v>166</v>
      </c>
      <c r="P611" s="68" t="s">
        <v>2127</v>
      </c>
      <c r="Q611" s="68" t="s">
        <v>82</v>
      </c>
      <c r="R611" s="68" t="s">
        <v>21</v>
      </c>
      <c r="S611" s="68" t="s">
        <v>1986</v>
      </c>
      <c r="T611" s="68" t="s">
        <v>119</v>
      </c>
      <c r="U611" s="68" t="s">
        <v>61</v>
      </c>
    </row>
    <row r="612" spans="1:21" ht="17.100000000000001" thickBot="1">
      <c r="A612" s="68" t="s">
        <v>2128</v>
      </c>
      <c r="B612" s="68" t="s">
        <v>2129</v>
      </c>
      <c r="C612" s="61" t="s">
        <v>49</v>
      </c>
      <c r="D612" s="68" t="s">
        <v>1966</v>
      </c>
      <c r="E612" s="68" t="s">
        <v>21</v>
      </c>
      <c r="F612" s="68" t="s">
        <v>51</v>
      </c>
      <c r="G612" s="68" t="s">
        <v>236</v>
      </c>
      <c r="H612" s="68"/>
      <c r="I612" s="68"/>
      <c r="J612" s="58" t="s">
        <v>465</v>
      </c>
      <c r="K612" s="58" t="s">
        <v>54</v>
      </c>
      <c r="L612" s="58" t="s">
        <v>288</v>
      </c>
      <c r="M612" s="68" t="s">
        <v>1766</v>
      </c>
      <c r="N612" s="68"/>
      <c r="O612" s="68" t="s">
        <v>232</v>
      </c>
      <c r="P612" s="68" t="s">
        <v>1953</v>
      </c>
      <c r="Q612" s="68" t="s">
        <v>82</v>
      </c>
      <c r="R612" s="68" t="s">
        <v>21</v>
      </c>
      <c r="S612" s="68" t="s">
        <v>2034</v>
      </c>
      <c r="T612" s="68" t="s">
        <v>141</v>
      </c>
      <c r="U612" s="68" t="s">
        <v>61</v>
      </c>
    </row>
    <row r="613" spans="1:21" ht="17.100000000000001" thickBot="1">
      <c r="A613" s="68" t="s">
        <v>2130</v>
      </c>
      <c r="B613" s="68" t="s">
        <v>2131</v>
      </c>
      <c r="C613" s="61" t="s">
        <v>49</v>
      </c>
      <c r="D613" s="68" t="s">
        <v>1966</v>
      </c>
      <c r="E613" s="68" t="s">
        <v>21</v>
      </c>
      <c r="F613" s="68" t="s">
        <v>51</v>
      </c>
      <c r="G613" s="68" t="s">
        <v>2132</v>
      </c>
      <c r="H613" s="68"/>
      <c r="I613" s="68"/>
      <c r="J613" s="58" t="s">
        <v>465</v>
      </c>
      <c r="K613" s="58" t="s">
        <v>54</v>
      </c>
      <c r="L613" s="58" t="s">
        <v>288</v>
      </c>
      <c r="M613" s="68" t="s">
        <v>1771</v>
      </c>
      <c r="N613" s="68"/>
      <c r="O613" s="68" t="s">
        <v>153</v>
      </c>
      <c r="P613" s="68" t="s">
        <v>1772</v>
      </c>
      <c r="Q613" s="68" t="s">
        <v>82</v>
      </c>
      <c r="R613" s="68" t="s">
        <v>19</v>
      </c>
      <c r="S613" s="68" t="s">
        <v>2000</v>
      </c>
      <c r="T613" s="68" t="s">
        <v>60</v>
      </c>
      <c r="U613" s="68" t="s">
        <v>61</v>
      </c>
    </row>
    <row r="614" spans="1:21" ht="33.6" thickBot="1">
      <c r="A614" s="68" t="s">
        <v>2133</v>
      </c>
      <c r="B614" s="68" t="s">
        <v>1774</v>
      </c>
      <c r="C614" s="61" t="s">
        <v>49</v>
      </c>
      <c r="D614" s="68" t="s">
        <v>1966</v>
      </c>
      <c r="E614" s="68" t="s">
        <v>21</v>
      </c>
      <c r="F614" s="68" t="s">
        <v>51</v>
      </c>
      <c r="G614" s="68" t="s">
        <v>1696</v>
      </c>
      <c r="H614" s="68"/>
      <c r="I614" s="68"/>
      <c r="J614" s="58" t="s">
        <v>465</v>
      </c>
      <c r="K614" s="58" t="s">
        <v>54</v>
      </c>
      <c r="L614" s="58" t="s">
        <v>288</v>
      </c>
      <c r="M614" s="68" t="s">
        <v>1775</v>
      </c>
      <c r="N614" s="68"/>
      <c r="O614" s="68" t="s">
        <v>108</v>
      </c>
      <c r="P614" s="68" t="s">
        <v>1776</v>
      </c>
      <c r="Q614" s="68" t="s">
        <v>82</v>
      </c>
      <c r="R614" s="68" t="s">
        <v>19</v>
      </c>
      <c r="S614" s="68" t="s">
        <v>1969</v>
      </c>
      <c r="T614" s="68" t="s">
        <v>141</v>
      </c>
      <c r="U614" s="68" t="s">
        <v>61</v>
      </c>
    </row>
    <row r="615" spans="1:21" ht="33.6" thickBot="1">
      <c r="A615" s="68" t="s">
        <v>2134</v>
      </c>
      <c r="B615" s="68" t="s">
        <v>2135</v>
      </c>
      <c r="C615" s="68" t="s">
        <v>2136</v>
      </c>
      <c r="D615" s="68" t="s">
        <v>2137</v>
      </c>
      <c r="E615" s="68" t="s">
        <v>21</v>
      </c>
      <c r="F615" s="68" t="s">
        <v>51</v>
      </c>
      <c r="G615" s="68" t="s">
        <v>2138</v>
      </c>
      <c r="H615" s="68"/>
      <c r="I615" s="68"/>
      <c r="J615" s="68"/>
      <c r="K615" s="68"/>
      <c r="L615" s="68"/>
      <c r="M615" s="68" t="s">
        <v>269</v>
      </c>
      <c r="N615" s="68"/>
      <c r="O615" s="68" t="s">
        <v>103</v>
      </c>
      <c r="P615" s="68" t="s">
        <v>1962</v>
      </c>
      <c r="Q615" s="68" t="s">
        <v>89</v>
      </c>
      <c r="R615" s="68" t="s">
        <v>19</v>
      </c>
      <c r="S615" s="68" t="s">
        <v>2139</v>
      </c>
      <c r="T615" s="68" t="s">
        <v>60</v>
      </c>
      <c r="U615" s="68" t="s">
        <v>61</v>
      </c>
    </row>
    <row r="616" spans="1:21" ht="33.6" thickBot="1">
      <c r="A616" s="68" t="s">
        <v>2140</v>
      </c>
      <c r="B616" s="68" t="s">
        <v>2141</v>
      </c>
      <c r="C616" s="68" t="s">
        <v>2136</v>
      </c>
      <c r="D616" s="68" t="s">
        <v>2137</v>
      </c>
      <c r="E616" s="68" t="s">
        <v>21</v>
      </c>
      <c r="F616" s="68" t="s">
        <v>51</v>
      </c>
      <c r="G616" s="68" t="s">
        <v>2142</v>
      </c>
      <c r="H616" s="68"/>
      <c r="I616" s="68"/>
      <c r="J616" s="68"/>
      <c r="K616" s="68"/>
      <c r="L616" s="68"/>
      <c r="M616" s="68" t="s">
        <v>1788</v>
      </c>
      <c r="N616" s="68"/>
      <c r="O616" s="68" t="s">
        <v>232</v>
      </c>
      <c r="P616" s="68" t="s">
        <v>1968</v>
      </c>
      <c r="Q616" s="68" t="s">
        <v>59</v>
      </c>
      <c r="R616" s="68" t="s">
        <v>21</v>
      </c>
      <c r="S616" s="68" t="s">
        <v>1558</v>
      </c>
      <c r="T616" s="68" t="s">
        <v>60</v>
      </c>
      <c r="U616" s="68" t="s">
        <v>61</v>
      </c>
    </row>
    <row r="617" spans="1:21" ht="33.6" thickBot="1">
      <c r="A617" s="68" t="s">
        <v>2143</v>
      </c>
      <c r="B617" s="68" t="s">
        <v>1791</v>
      </c>
      <c r="C617" s="68" t="s">
        <v>2136</v>
      </c>
      <c r="D617" s="68" t="s">
        <v>2137</v>
      </c>
      <c r="E617" s="68" t="s">
        <v>21</v>
      </c>
      <c r="F617" s="68" t="s">
        <v>51</v>
      </c>
      <c r="G617" s="68" t="s">
        <v>1561</v>
      </c>
      <c r="H617" s="68"/>
      <c r="I617" s="68"/>
      <c r="J617" s="68"/>
      <c r="K617" s="68"/>
      <c r="L617" s="68"/>
      <c r="M617" s="68" t="s">
        <v>1793</v>
      </c>
      <c r="N617" s="68"/>
      <c r="O617" s="68" t="s">
        <v>108</v>
      </c>
      <c r="P617" s="68" t="s">
        <v>1971</v>
      </c>
      <c r="Q617" s="68" t="s">
        <v>82</v>
      </c>
      <c r="R617" s="68" t="s">
        <v>19</v>
      </c>
      <c r="S617" s="68" t="s">
        <v>1558</v>
      </c>
      <c r="T617" s="68" t="s">
        <v>60</v>
      </c>
      <c r="U617" s="68" t="s">
        <v>61</v>
      </c>
    </row>
    <row r="618" spans="1:21" ht="33.6" thickBot="1">
      <c r="A618" s="68" t="s">
        <v>2144</v>
      </c>
      <c r="B618" s="68" t="s">
        <v>2145</v>
      </c>
      <c r="C618" s="68" t="s">
        <v>2136</v>
      </c>
      <c r="D618" s="68" t="s">
        <v>2137</v>
      </c>
      <c r="E618" s="68" t="s">
        <v>21</v>
      </c>
      <c r="F618" s="68" t="s">
        <v>51</v>
      </c>
      <c r="G618" s="68" t="s">
        <v>1797</v>
      </c>
      <c r="H618" s="68"/>
      <c r="I618" s="68"/>
      <c r="J618" s="68"/>
      <c r="K618" s="68"/>
      <c r="L618" s="68"/>
      <c r="M618" s="68" t="s">
        <v>1798</v>
      </c>
      <c r="N618" s="68"/>
      <c r="O618" s="68" t="s">
        <v>87</v>
      </c>
      <c r="P618" s="68" t="s">
        <v>1976</v>
      </c>
      <c r="Q618" s="68" t="s">
        <v>82</v>
      </c>
      <c r="R618" s="68" t="s">
        <v>19</v>
      </c>
      <c r="S618" s="68" t="s">
        <v>1558</v>
      </c>
      <c r="T618" s="68" t="s">
        <v>60</v>
      </c>
      <c r="U618" s="68" t="s">
        <v>61</v>
      </c>
    </row>
    <row r="619" spans="1:21" ht="33.6" thickBot="1">
      <c r="A619" s="68" t="s">
        <v>2146</v>
      </c>
      <c r="B619" s="68" t="s">
        <v>2147</v>
      </c>
      <c r="C619" s="68" t="s">
        <v>2136</v>
      </c>
      <c r="D619" s="68" t="s">
        <v>2137</v>
      </c>
      <c r="E619" s="68" t="s">
        <v>21</v>
      </c>
      <c r="F619" s="68" t="s">
        <v>51</v>
      </c>
      <c r="G619" s="68" t="s">
        <v>1979</v>
      </c>
      <c r="H619" s="68"/>
      <c r="I619" s="68"/>
      <c r="J619" s="68"/>
      <c r="K619" s="68"/>
      <c r="L619" s="68"/>
      <c r="M619" s="68" t="s">
        <v>1803</v>
      </c>
      <c r="N619" s="68"/>
      <c r="O619" s="68" t="s">
        <v>117</v>
      </c>
      <c r="P619" s="68" t="s">
        <v>1589</v>
      </c>
      <c r="Q619" s="68" t="s">
        <v>89</v>
      </c>
      <c r="R619" s="68" t="s">
        <v>19</v>
      </c>
      <c r="S619" s="68" t="s">
        <v>2139</v>
      </c>
      <c r="T619" s="68" t="s">
        <v>60</v>
      </c>
      <c r="U619" s="68" t="s">
        <v>61</v>
      </c>
    </row>
    <row r="620" spans="1:21" ht="33.6" thickBot="1">
      <c r="A620" s="68" t="s">
        <v>2148</v>
      </c>
      <c r="B620" s="68" t="s">
        <v>2149</v>
      </c>
      <c r="C620" s="68" t="s">
        <v>2136</v>
      </c>
      <c r="D620" s="68" t="s">
        <v>2137</v>
      </c>
      <c r="E620" s="68" t="s">
        <v>21</v>
      </c>
      <c r="F620" s="68" t="s">
        <v>51</v>
      </c>
      <c r="G620" s="68" t="s">
        <v>1806</v>
      </c>
      <c r="H620" s="68"/>
      <c r="I620" s="68"/>
      <c r="J620" s="68"/>
      <c r="K620" s="68"/>
      <c r="L620" s="68"/>
      <c r="M620" s="68" t="s">
        <v>2150</v>
      </c>
      <c r="N620" s="68"/>
      <c r="O620" s="68" t="s">
        <v>93</v>
      </c>
      <c r="P620" s="68" t="s">
        <v>2151</v>
      </c>
      <c r="Q620" s="68" t="s">
        <v>89</v>
      </c>
      <c r="R620" s="68" t="s">
        <v>19</v>
      </c>
      <c r="S620" s="68" t="s">
        <v>2139</v>
      </c>
      <c r="T620" s="68" t="s">
        <v>60</v>
      </c>
      <c r="U620" s="68" t="s">
        <v>61</v>
      </c>
    </row>
    <row r="621" spans="1:21" ht="33.6" thickBot="1">
      <c r="A621" s="68" t="s">
        <v>2152</v>
      </c>
      <c r="B621" s="68" t="s">
        <v>2153</v>
      </c>
      <c r="C621" s="68" t="s">
        <v>2136</v>
      </c>
      <c r="D621" s="68" t="s">
        <v>2137</v>
      </c>
      <c r="E621" s="68" t="s">
        <v>21</v>
      </c>
      <c r="F621" s="68" t="s">
        <v>51</v>
      </c>
      <c r="G621" s="68" t="s">
        <v>305</v>
      </c>
      <c r="H621" s="68"/>
      <c r="I621" s="68"/>
      <c r="J621" s="68"/>
      <c r="K621" s="68"/>
      <c r="L621" s="68"/>
      <c r="M621" s="68" t="s">
        <v>1989</v>
      </c>
      <c r="N621" s="68"/>
      <c r="O621" s="68" t="s">
        <v>123</v>
      </c>
      <c r="P621" s="68" t="s">
        <v>1808</v>
      </c>
      <c r="Q621" s="68" t="s">
        <v>82</v>
      </c>
      <c r="R621" s="68" t="s">
        <v>21</v>
      </c>
      <c r="S621" s="68" t="s">
        <v>2154</v>
      </c>
      <c r="T621" s="68" t="s">
        <v>60</v>
      </c>
      <c r="U621" s="68" t="s">
        <v>61</v>
      </c>
    </row>
    <row r="622" spans="1:21" ht="33.6" thickBot="1">
      <c r="A622" s="68" t="s">
        <v>2155</v>
      </c>
      <c r="B622" s="68" t="s">
        <v>2156</v>
      </c>
      <c r="C622" s="68" t="s">
        <v>2136</v>
      </c>
      <c r="D622" s="68" t="s">
        <v>2137</v>
      </c>
      <c r="E622" s="68" t="s">
        <v>21</v>
      </c>
      <c r="F622" s="68" t="s">
        <v>51</v>
      </c>
      <c r="G622" s="68" t="s">
        <v>1591</v>
      </c>
      <c r="H622" s="68"/>
      <c r="I622" s="68"/>
      <c r="J622" s="68"/>
      <c r="K622" s="68"/>
      <c r="L622" s="68"/>
      <c r="M622" s="68" t="s">
        <v>2157</v>
      </c>
      <c r="N622" s="68"/>
      <c r="O622" s="68" t="s">
        <v>103</v>
      </c>
      <c r="P622" s="68" t="s">
        <v>1593</v>
      </c>
      <c r="Q622" s="68" t="s">
        <v>82</v>
      </c>
      <c r="R622" s="68" t="s">
        <v>19</v>
      </c>
      <c r="S622" s="68" t="s">
        <v>1558</v>
      </c>
      <c r="T622" s="68" t="s">
        <v>119</v>
      </c>
      <c r="U622" s="68" t="s">
        <v>61</v>
      </c>
    </row>
    <row r="623" spans="1:21" ht="17.100000000000001" thickBot="1">
      <c r="A623" s="68" t="s">
        <v>2158</v>
      </c>
      <c r="B623" s="68" t="s">
        <v>2159</v>
      </c>
      <c r="C623" s="68" t="s">
        <v>2136</v>
      </c>
      <c r="D623" s="68" t="s">
        <v>2137</v>
      </c>
      <c r="E623" s="68" t="s">
        <v>21</v>
      </c>
      <c r="F623" s="68" t="s">
        <v>51</v>
      </c>
      <c r="G623" s="68" t="s">
        <v>2160</v>
      </c>
      <c r="H623" s="68"/>
      <c r="I623" s="68"/>
      <c r="J623" s="68"/>
      <c r="K623" s="68"/>
      <c r="L623" s="68"/>
      <c r="M623" s="68" t="s">
        <v>1715</v>
      </c>
      <c r="N623" s="68"/>
      <c r="O623" s="68" t="s">
        <v>153</v>
      </c>
      <c r="P623" s="68" t="s">
        <v>1999</v>
      </c>
      <c r="Q623" s="68" t="s">
        <v>82</v>
      </c>
      <c r="R623" s="68" t="s">
        <v>19</v>
      </c>
      <c r="S623" s="68" t="s">
        <v>2161</v>
      </c>
      <c r="T623" s="68" t="s">
        <v>60</v>
      </c>
      <c r="U623" s="68" t="s">
        <v>61</v>
      </c>
    </row>
    <row r="624" spans="1:21" ht="33.6" thickBot="1">
      <c r="A624" s="68" t="s">
        <v>2139</v>
      </c>
      <c r="B624" s="68" t="s">
        <v>2162</v>
      </c>
      <c r="C624" s="68" t="s">
        <v>2136</v>
      </c>
      <c r="D624" s="68" t="s">
        <v>2137</v>
      </c>
      <c r="E624" s="68" t="s">
        <v>21</v>
      </c>
      <c r="F624" s="68" t="s">
        <v>51</v>
      </c>
      <c r="G624" s="68" t="s">
        <v>2163</v>
      </c>
      <c r="H624" s="68"/>
      <c r="I624" s="68"/>
      <c r="J624" s="68"/>
      <c r="K624" s="68"/>
      <c r="L624" s="68"/>
      <c r="M624" s="68" t="s">
        <v>1596</v>
      </c>
      <c r="N624" s="68"/>
      <c r="O624" s="68" t="s">
        <v>103</v>
      </c>
      <c r="P624" s="68" t="s">
        <v>2164</v>
      </c>
      <c r="Q624" s="68" t="s">
        <v>82</v>
      </c>
      <c r="R624" s="68" t="s">
        <v>19</v>
      </c>
      <c r="S624" s="68" t="s">
        <v>1558</v>
      </c>
      <c r="T624" s="68" t="s">
        <v>60</v>
      </c>
      <c r="U624" s="68" t="s">
        <v>61</v>
      </c>
    </row>
    <row r="625" spans="1:21" ht="33.6" thickBot="1">
      <c r="A625" s="68" t="s">
        <v>2154</v>
      </c>
      <c r="B625" s="68" t="s">
        <v>2165</v>
      </c>
      <c r="C625" s="68" t="s">
        <v>2136</v>
      </c>
      <c r="D625" s="68" t="s">
        <v>2137</v>
      </c>
      <c r="E625" s="68" t="s">
        <v>21</v>
      </c>
      <c r="F625" s="68" t="s">
        <v>51</v>
      </c>
      <c r="G625" s="68" t="s">
        <v>2166</v>
      </c>
      <c r="H625" s="68"/>
      <c r="I625" s="68"/>
      <c r="J625" s="68"/>
      <c r="K625" s="68"/>
      <c r="L625" s="68"/>
      <c r="M625" s="68" t="s">
        <v>2007</v>
      </c>
      <c r="N625" s="68"/>
      <c r="O625" s="68" t="s">
        <v>57</v>
      </c>
      <c r="P625" s="68" t="s">
        <v>2008</v>
      </c>
      <c r="Q625" s="68" t="s">
        <v>82</v>
      </c>
      <c r="R625" s="68" t="s">
        <v>19</v>
      </c>
      <c r="S625" s="68" t="s">
        <v>2139</v>
      </c>
      <c r="T625" s="68" t="s">
        <v>60</v>
      </c>
      <c r="U625" s="68" t="s">
        <v>61</v>
      </c>
    </row>
    <row r="626" spans="1:21" ht="33.6" thickBot="1">
      <c r="A626" s="68" t="s">
        <v>2167</v>
      </c>
      <c r="B626" s="68" t="s">
        <v>2168</v>
      </c>
      <c r="C626" s="68" t="s">
        <v>2136</v>
      </c>
      <c r="D626" s="68" t="s">
        <v>2137</v>
      </c>
      <c r="E626" s="68" t="s">
        <v>21</v>
      </c>
      <c r="F626" s="68" t="s">
        <v>51</v>
      </c>
      <c r="G626" s="68" t="s">
        <v>2169</v>
      </c>
      <c r="H626" s="68"/>
      <c r="I626" s="68"/>
      <c r="J626" s="68"/>
      <c r="K626" s="68"/>
      <c r="L626" s="68"/>
      <c r="M626" s="68" t="s">
        <v>2170</v>
      </c>
      <c r="N626" s="68"/>
      <c r="O626" s="68" t="s">
        <v>93</v>
      </c>
      <c r="P626" s="68" t="s">
        <v>2171</v>
      </c>
      <c r="Q626" s="68" t="s">
        <v>82</v>
      </c>
      <c r="R626" s="68" t="s">
        <v>21</v>
      </c>
      <c r="S626" s="68" t="s">
        <v>2139</v>
      </c>
      <c r="T626" s="68" t="s">
        <v>60</v>
      </c>
      <c r="U626" s="68" t="s">
        <v>61</v>
      </c>
    </row>
    <row r="627" spans="1:21" ht="17.100000000000001" thickBot="1">
      <c r="A627" s="68" t="s">
        <v>2161</v>
      </c>
      <c r="B627" s="68" t="s">
        <v>2172</v>
      </c>
      <c r="C627" s="68" t="s">
        <v>2136</v>
      </c>
      <c r="D627" s="68" t="s">
        <v>2137</v>
      </c>
      <c r="E627" s="68" t="s">
        <v>21</v>
      </c>
      <c r="F627" s="68" t="s">
        <v>51</v>
      </c>
      <c r="G627" s="68" t="s">
        <v>2173</v>
      </c>
      <c r="H627" s="68"/>
      <c r="I627" s="68"/>
      <c r="J627" s="68"/>
      <c r="K627" s="68"/>
      <c r="L627" s="68"/>
      <c r="M627" s="68" t="s">
        <v>1866</v>
      </c>
      <c r="N627" s="68"/>
      <c r="O627" s="68" t="s">
        <v>153</v>
      </c>
      <c r="P627" s="68" t="s">
        <v>1833</v>
      </c>
      <c r="Q627" s="68" t="s">
        <v>82</v>
      </c>
      <c r="R627" s="68" t="s">
        <v>19</v>
      </c>
      <c r="S627" s="68" t="s">
        <v>2139</v>
      </c>
      <c r="T627" s="68" t="s">
        <v>60</v>
      </c>
      <c r="U627" s="68" t="s">
        <v>61</v>
      </c>
    </row>
    <row r="628" spans="1:21" ht="17.100000000000001" thickBot="1">
      <c r="A628" s="68" t="s">
        <v>2174</v>
      </c>
      <c r="B628" s="68" t="s">
        <v>2175</v>
      </c>
      <c r="C628" s="68" t="s">
        <v>2136</v>
      </c>
      <c r="D628" s="68" t="s">
        <v>2137</v>
      </c>
      <c r="E628" s="68" t="s">
        <v>21</v>
      </c>
      <c r="F628" s="68" t="s">
        <v>51</v>
      </c>
      <c r="G628" s="68" t="s">
        <v>328</v>
      </c>
      <c r="H628" s="68"/>
      <c r="I628" s="68"/>
      <c r="J628" s="68"/>
      <c r="K628" s="68"/>
      <c r="L628" s="68"/>
      <c r="M628" s="68" t="s">
        <v>2176</v>
      </c>
      <c r="N628" s="68"/>
      <c r="O628" s="68" t="s">
        <v>117</v>
      </c>
      <c r="P628" s="68" t="s">
        <v>2020</v>
      </c>
      <c r="Q628" s="68" t="s">
        <v>82</v>
      </c>
      <c r="R628" s="68" t="s">
        <v>19</v>
      </c>
      <c r="S628" s="68" t="s">
        <v>1558</v>
      </c>
      <c r="T628" s="68" t="s">
        <v>60</v>
      </c>
      <c r="U628" s="68" t="s">
        <v>61</v>
      </c>
    </row>
    <row r="629" spans="1:21" ht="33.6" thickBot="1">
      <c r="A629" s="68" t="s">
        <v>2177</v>
      </c>
      <c r="B629" s="68" t="s">
        <v>2022</v>
      </c>
      <c r="C629" s="68" t="s">
        <v>2136</v>
      </c>
      <c r="D629" s="68" t="s">
        <v>2137</v>
      </c>
      <c r="E629" s="68" t="s">
        <v>21</v>
      </c>
      <c r="F629" s="68" t="s">
        <v>51</v>
      </c>
      <c r="G629" s="68" t="s">
        <v>495</v>
      </c>
      <c r="H629" s="68"/>
      <c r="I629" s="68"/>
      <c r="J629" s="68"/>
      <c r="K629" s="68"/>
      <c r="L629" s="68"/>
      <c r="M629" s="68" t="s">
        <v>1798</v>
      </c>
      <c r="N629" s="68"/>
      <c r="O629" s="68" t="s">
        <v>103</v>
      </c>
      <c r="P629" s="68" t="s">
        <v>2178</v>
      </c>
      <c r="Q629" s="68" t="s">
        <v>82</v>
      </c>
      <c r="R629" s="68" t="s">
        <v>19</v>
      </c>
      <c r="S629" s="68" t="s">
        <v>2139</v>
      </c>
      <c r="T629" s="68" t="s">
        <v>60</v>
      </c>
      <c r="U629" s="68" t="s">
        <v>61</v>
      </c>
    </row>
    <row r="630" spans="1:21" ht="33.6" thickBot="1">
      <c r="A630" s="68" t="s">
        <v>2179</v>
      </c>
      <c r="B630" s="68" t="s">
        <v>2180</v>
      </c>
      <c r="C630" s="68" t="s">
        <v>2136</v>
      </c>
      <c r="D630" s="68" t="s">
        <v>2137</v>
      </c>
      <c r="E630" s="68" t="s">
        <v>21</v>
      </c>
      <c r="F630" s="68" t="s">
        <v>51</v>
      </c>
      <c r="G630" s="68" t="s">
        <v>640</v>
      </c>
      <c r="H630" s="68"/>
      <c r="I630" s="68"/>
      <c r="J630" s="68"/>
      <c r="K630" s="68"/>
      <c r="L630" s="68"/>
      <c r="M630" s="68" t="s">
        <v>2027</v>
      </c>
      <c r="N630" s="68"/>
      <c r="O630" s="68" t="s">
        <v>113</v>
      </c>
      <c r="P630" s="68" t="s">
        <v>2028</v>
      </c>
      <c r="Q630" s="68" t="s">
        <v>82</v>
      </c>
      <c r="R630" s="68" t="s">
        <v>21</v>
      </c>
      <c r="S630" s="68" t="s">
        <v>2139</v>
      </c>
      <c r="T630" s="68" t="s">
        <v>60</v>
      </c>
      <c r="U630" s="68" t="s">
        <v>61</v>
      </c>
    </row>
    <row r="631" spans="1:21" ht="33.6" thickBot="1">
      <c r="A631" s="68" t="s">
        <v>2181</v>
      </c>
      <c r="B631" s="68" t="s">
        <v>2182</v>
      </c>
      <c r="C631" s="68" t="s">
        <v>2136</v>
      </c>
      <c r="D631" s="68" t="s">
        <v>2137</v>
      </c>
      <c r="E631" s="68" t="s">
        <v>21</v>
      </c>
      <c r="F631" s="68" t="s">
        <v>51</v>
      </c>
      <c r="G631" s="68" t="s">
        <v>348</v>
      </c>
      <c r="H631" s="68"/>
      <c r="I631" s="68"/>
      <c r="J631" s="68"/>
      <c r="K631" s="68"/>
      <c r="L631" s="68"/>
      <c r="M631" s="68" t="s">
        <v>1631</v>
      </c>
      <c r="N631" s="68"/>
      <c r="O631" s="68" t="s">
        <v>103</v>
      </c>
      <c r="P631" s="68" t="s">
        <v>2183</v>
      </c>
      <c r="Q631" s="68" t="s">
        <v>89</v>
      </c>
      <c r="R631" s="68" t="s">
        <v>19</v>
      </c>
      <c r="S631" s="68" t="s">
        <v>2139</v>
      </c>
      <c r="T631" s="68" t="s">
        <v>60</v>
      </c>
      <c r="U631" s="68" t="s">
        <v>61</v>
      </c>
    </row>
    <row r="632" spans="1:21" ht="33.6" thickBot="1">
      <c r="A632" s="68" t="s">
        <v>2184</v>
      </c>
      <c r="B632" s="68" t="s">
        <v>2185</v>
      </c>
      <c r="C632" s="68" t="s">
        <v>2136</v>
      </c>
      <c r="D632" s="68" t="s">
        <v>2137</v>
      </c>
      <c r="E632" s="68" t="s">
        <v>21</v>
      </c>
      <c r="F632" s="68" t="s">
        <v>51</v>
      </c>
      <c r="G632" s="68" t="s">
        <v>2186</v>
      </c>
      <c r="H632" s="68"/>
      <c r="I632" s="68"/>
      <c r="J632" s="68"/>
      <c r="K632" s="68"/>
      <c r="L632" s="68"/>
      <c r="M632" s="68" t="s">
        <v>1710</v>
      </c>
      <c r="N632" s="68"/>
      <c r="O632" s="68" t="s">
        <v>93</v>
      </c>
      <c r="P632" s="68" t="s">
        <v>2037</v>
      </c>
      <c r="Q632" s="68" t="s">
        <v>82</v>
      </c>
      <c r="R632" s="68" t="s">
        <v>19</v>
      </c>
      <c r="S632" s="68" t="s">
        <v>2154</v>
      </c>
      <c r="T632" s="68" t="s">
        <v>60</v>
      </c>
      <c r="U632" s="68" t="s">
        <v>61</v>
      </c>
    </row>
    <row r="633" spans="1:21" ht="33.6" thickBot="1">
      <c r="A633" s="68" t="s">
        <v>2187</v>
      </c>
      <c r="B633" s="68" t="s">
        <v>2188</v>
      </c>
      <c r="C633" s="68" t="s">
        <v>2136</v>
      </c>
      <c r="D633" s="68" t="s">
        <v>2137</v>
      </c>
      <c r="E633" s="68" t="s">
        <v>21</v>
      </c>
      <c r="F633" s="68" t="s">
        <v>51</v>
      </c>
      <c r="G633" s="68" t="s">
        <v>1862</v>
      </c>
      <c r="H633" s="68"/>
      <c r="I633" s="68"/>
      <c r="J633" s="68"/>
      <c r="K633" s="68"/>
      <c r="L633" s="68"/>
      <c r="M633" s="68" t="s">
        <v>1863</v>
      </c>
      <c r="N633" s="68"/>
      <c r="O633" s="68" t="s">
        <v>98</v>
      </c>
      <c r="P633" s="68" t="s">
        <v>1999</v>
      </c>
      <c r="Q633" s="68" t="s">
        <v>89</v>
      </c>
      <c r="R633" s="68" t="s">
        <v>19</v>
      </c>
      <c r="S633" s="68" t="s">
        <v>2154</v>
      </c>
      <c r="T633" s="68" t="s">
        <v>60</v>
      </c>
      <c r="U633" s="68" t="s">
        <v>61</v>
      </c>
    </row>
    <row r="634" spans="1:21" ht="33.6" thickBot="1">
      <c r="A634" s="68" t="s">
        <v>2189</v>
      </c>
      <c r="B634" s="68" t="s">
        <v>2190</v>
      </c>
      <c r="C634" s="68" t="s">
        <v>2136</v>
      </c>
      <c r="D634" s="68" t="s">
        <v>2137</v>
      </c>
      <c r="E634" s="68" t="s">
        <v>21</v>
      </c>
      <c r="F634" s="68" t="s">
        <v>51</v>
      </c>
      <c r="G634" s="68" t="s">
        <v>2191</v>
      </c>
      <c r="H634" s="68"/>
      <c r="I634" s="68"/>
      <c r="J634" s="68"/>
      <c r="K634" s="68"/>
      <c r="L634" s="68"/>
      <c r="M634" s="68" t="s">
        <v>1853</v>
      </c>
      <c r="N634" s="68"/>
      <c r="O634" s="68" t="s">
        <v>113</v>
      </c>
      <c r="P634" s="68" t="s">
        <v>2117</v>
      </c>
      <c r="Q634" s="68" t="s">
        <v>82</v>
      </c>
      <c r="R634" s="68" t="s">
        <v>19</v>
      </c>
      <c r="S634" s="68" t="s">
        <v>2161</v>
      </c>
      <c r="T634" s="68" t="s">
        <v>83</v>
      </c>
      <c r="U634" s="68" t="s">
        <v>61</v>
      </c>
    </row>
    <row r="635" spans="1:21" ht="17.100000000000001" thickBot="1">
      <c r="A635" s="68" t="s">
        <v>2192</v>
      </c>
      <c r="B635" s="68" t="s">
        <v>2193</v>
      </c>
      <c r="C635" s="68" t="s">
        <v>2136</v>
      </c>
      <c r="D635" s="68" t="s">
        <v>2137</v>
      </c>
      <c r="E635" s="68" t="s">
        <v>21</v>
      </c>
      <c r="F635" s="68" t="s">
        <v>51</v>
      </c>
      <c r="G635" s="68" t="s">
        <v>2194</v>
      </c>
      <c r="H635" s="68"/>
      <c r="I635" s="68"/>
      <c r="J635" s="68"/>
      <c r="K635" s="68"/>
      <c r="L635" s="68"/>
      <c r="M635" s="68" t="s">
        <v>1715</v>
      </c>
      <c r="N635" s="68"/>
      <c r="O635" s="68" t="s">
        <v>153</v>
      </c>
      <c r="P635" s="68" t="s">
        <v>2195</v>
      </c>
      <c r="Q635" s="68" t="s">
        <v>82</v>
      </c>
      <c r="R635" s="68" t="s">
        <v>21</v>
      </c>
      <c r="S635" s="68" t="s">
        <v>2154</v>
      </c>
      <c r="T635" s="68" t="s">
        <v>60</v>
      </c>
      <c r="U635" s="68" t="s">
        <v>61</v>
      </c>
    </row>
    <row r="636" spans="1:21" ht="33.6" thickBot="1">
      <c r="A636" s="68" t="s">
        <v>2196</v>
      </c>
      <c r="B636" s="68" t="s">
        <v>2197</v>
      </c>
      <c r="C636" s="68" t="s">
        <v>2136</v>
      </c>
      <c r="D636" s="68" t="s">
        <v>2137</v>
      </c>
      <c r="E636" s="68" t="s">
        <v>21</v>
      </c>
      <c r="F636" s="68" t="s">
        <v>51</v>
      </c>
      <c r="G636" s="68" t="s">
        <v>170</v>
      </c>
      <c r="H636" s="68"/>
      <c r="I636" s="68"/>
      <c r="J636" s="68"/>
      <c r="K636" s="68"/>
      <c r="L636" s="68"/>
      <c r="M636" s="68" t="s">
        <v>2052</v>
      </c>
      <c r="N636" s="68"/>
      <c r="O636" s="68" t="s">
        <v>57</v>
      </c>
      <c r="P636" s="68" t="s">
        <v>2198</v>
      </c>
      <c r="Q636" s="68" t="s">
        <v>82</v>
      </c>
      <c r="R636" s="68" t="s">
        <v>19</v>
      </c>
      <c r="S636" s="68" t="s">
        <v>2167</v>
      </c>
      <c r="T636" s="68" t="s">
        <v>83</v>
      </c>
      <c r="U636" s="68" t="s">
        <v>61</v>
      </c>
    </row>
    <row r="637" spans="1:21" ht="33.6" thickBot="1">
      <c r="A637" s="68" t="s">
        <v>2199</v>
      </c>
      <c r="B637" s="68" t="s">
        <v>2200</v>
      </c>
      <c r="C637" s="68" t="s">
        <v>2136</v>
      </c>
      <c r="D637" s="68" t="s">
        <v>2137</v>
      </c>
      <c r="E637" s="68" t="s">
        <v>21</v>
      </c>
      <c r="F637" s="68" t="s">
        <v>51</v>
      </c>
      <c r="G637" s="68" t="s">
        <v>2201</v>
      </c>
      <c r="H637" s="68"/>
      <c r="I637" s="68"/>
      <c r="J637" s="68"/>
      <c r="K637" s="68"/>
      <c r="L637" s="68"/>
      <c r="M637" s="68" t="s">
        <v>1659</v>
      </c>
      <c r="N637" s="68"/>
      <c r="O637" s="68" t="s">
        <v>103</v>
      </c>
      <c r="P637" s="68" t="s">
        <v>2057</v>
      </c>
      <c r="Q637" s="68" t="s">
        <v>82</v>
      </c>
      <c r="R637" s="68" t="s">
        <v>19</v>
      </c>
      <c r="S637" s="68" t="s">
        <v>2139</v>
      </c>
      <c r="T637" s="68" t="s">
        <v>60</v>
      </c>
      <c r="U637" s="68" t="s">
        <v>61</v>
      </c>
    </row>
    <row r="638" spans="1:21" ht="33.6" thickBot="1">
      <c r="A638" s="68" t="s">
        <v>2202</v>
      </c>
      <c r="B638" s="68" t="s">
        <v>2203</v>
      </c>
      <c r="C638" s="68" t="s">
        <v>2136</v>
      </c>
      <c r="D638" s="68" t="s">
        <v>2137</v>
      </c>
      <c r="E638" s="68" t="s">
        <v>21</v>
      </c>
      <c r="F638" s="68" t="s">
        <v>51</v>
      </c>
      <c r="G638" s="68" t="s">
        <v>2204</v>
      </c>
      <c r="H638" s="68"/>
      <c r="I638" s="68"/>
      <c r="J638" s="68"/>
      <c r="K638" s="68"/>
      <c r="L638" s="68"/>
      <c r="M638" s="68" t="s">
        <v>2205</v>
      </c>
      <c r="N638" s="68"/>
      <c r="O638" s="68" t="s">
        <v>166</v>
      </c>
      <c r="P638" s="68" t="s">
        <v>2062</v>
      </c>
      <c r="Q638" s="68" t="s">
        <v>82</v>
      </c>
      <c r="R638" s="68" t="s">
        <v>21</v>
      </c>
      <c r="S638" s="68" t="s">
        <v>2158</v>
      </c>
      <c r="T638" s="68" t="s">
        <v>60</v>
      </c>
      <c r="U638" s="68" t="s">
        <v>61</v>
      </c>
    </row>
    <row r="639" spans="1:21" ht="33.6" thickBot="1">
      <c r="A639" s="68" t="s">
        <v>2206</v>
      </c>
      <c r="B639" s="68" t="s">
        <v>2207</v>
      </c>
      <c r="C639" s="68" t="s">
        <v>2136</v>
      </c>
      <c r="D639" s="68" t="s">
        <v>2137</v>
      </c>
      <c r="E639" s="68" t="s">
        <v>21</v>
      </c>
      <c r="F639" s="68" t="s">
        <v>51</v>
      </c>
      <c r="G639" s="68" t="s">
        <v>1668</v>
      </c>
      <c r="H639" s="68"/>
      <c r="I639" s="68"/>
      <c r="J639" s="68"/>
      <c r="K639" s="68"/>
      <c r="L639" s="68"/>
      <c r="M639" s="68" t="s">
        <v>1669</v>
      </c>
      <c r="N639" s="68"/>
      <c r="O639" s="68" t="s">
        <v>87</v>
      </c>
      <c r="P639" s="68" t="s">
        <v>1675</v>
      </c>
      <c r="Q639" s="68" t="s">
        <v>82</v>
      </c>
      <c r="R639" s="68" t="s">
        <v>19</v>
      </c>
      <c r="S639" s="68" t="s">
        <v>1558</v>
      </c>
      <c r="T639" s="68" t="s">
        <v>119</v>
      </c>
      <c r="U639" s="68" t="s">
        <v>61</v>
      </c>
    </row>
    <row r="640" spans="1:21" ht="33.6" thickBot="1">
      <c r="A640" s="68" t="s">
        <v>2208</v>
      </c>
      <c r="B640" s="68" t="s">
        <v>1672</v>
      </c>
      <c r="C640" s="68" t="s">
        <v>2136</v>
      </c>
      <c r="D640" s="68" t="s">
        <v>2137</v>
      </c>
      <c r="E640" s="68" t="s">
        <v>21</v>
      </c>
      <c r="F640" s="68" t="s">
        <v>51</v>
      </c>
      <c r="G640" s="68" t="s">
        <v>1719</v>
      </c>
      <c r="H640" s="68"/>
      <c r="I640" s="68"/>
      <c r="J640" s="68"/>
      <c r="K640" s="68"/>
      <c r="L640" s="68"/>
      <c r="M640" s="68" t="s">
        <v>1674</v>
      </c>
      <c r="N640" s="68"/>
      <c r="O640" s="68" t="s">
        <v>103</v>
      </c>
      <c r="P640" s="68" t="s">
        <v>2209</v>
      </c>
      <c r="Q640" s="68" t="s">
        <v>82</v>
      </c>
      <c r="R640" s="68" t="s">
        <v>19</v>
      </c>
      <c r="S640" s="68" t="s">
        <v>1558</v>
      </c>
      <c r="T640" s="68" t="s">
        <v>119</v>
      </c>
      <c r="U640" s="68" t="s">
        <v>61</v>
      </c>
    </row>
    <row r="641" spans="1:21" ht="33.6" thickBot="1">
      <c r="A641" s="68" t="s">
        <v>2210</v>
      </c>
      <c r="B641" s="68" t="s">
        <v>2069</v>
      </c>
      <c r="C641" s="68" t="s">
        <v>2136</v>
      </c>
      <c r="D641" s="68" t="s">
        <v>2137</v>
      </c>
      <c r="E641" s="68" t="s">
        <v>21</v>
      </c>
      <c r="F641" s="68" t="s">
        <v>51</v>
      </c>
      <c r="G641" s="68" t="s">
        <v>249</v>
      </c>
      <c r="H641" s="68"/>
      <c r="I641" s="68"/>
      <c r="J641" s="68"/>
      <c r="K641" s="68"/>
      <c r="L641" s="68"/>
      <c r="M641" s="68" t="s">
        <v>1636</v>
      </c>
      <c r="N641" s="68"/>
      <c r="O641" s="68" t="s">
        <v>103</v>
      </c>
      <c r="P641" s="68" t="s">
        <v>2070</v>
      </c>
      <c r="Q641" s="68" t="s">
        <v>82</v>
      </c>
      <c r="R641" s="68" t="s">
        <v>21</v>
      </c>
      <c r="S641" s="68" t="s">
        <v>2139</v>
      </c>
      <c r="T641" s="68" t="s">
        <v>119</v>
      </c>
      <c r="U641" s="68" t="s">
        <v>61</v>
      </c>
    </row>
    <row r="642" spans="1:21" ht="33.6" thickBot="1">
      <c r="A642" s="68" t="s">
        <v>2211</v>
      </c>
      <c r="B642" s="68" t="s">
        <v>2212</v>
      </c>
      <c r="C642" s="68" t="s">
        <v>2136</v>
      </c>
      <c r="D642" s="68" t="s">
        <v>2137</v>
      </c>
      <c r="E642" s="68" t="s">
        <v>21</v>
      </c>
      <c r="F642" s="68" t="s">
        <v>51</v>
      </c>
      <c r="G642" s="68" t="s">
        <v>1719</v>
      </c>
      <c r="H642" s="68"/>
      <c r="I642" s="68"/>
      <c r="J642" s="68"/>
      <c r="K642" s="68"/>
      <c r="L642" s="68"/>
      <c r="M642" s="68" t="s">
        <v>2213</v>
      </c>
      <c r="N642" s="68"/>
      <c r="O642" s="68" t="s">
        <v>113</v>
      </c>
      <c r="P642" s="68" t="s">
        <v>2074</v>
      </c>
      <c r="Q642" s="68" t="s">
        <v>82</v>
      </c>
      <c r="R642" s="68" t="s">
        <v>19</v>
      </c>
      <c r="S642" s="68" t="s">
        <v>1558</v>
      </c>
      <c r="T642" s="68" t="s">
        <v>119</v>
      </c>
      <c r="U642" s="68" t="s">
        <v>61</v>
      </c>
    </row>
    <row r="643" spans="1:21" ht="33.6" thickBot="1">
      <c r="A643" s="68" t="s">
        <v>2214</v>
      </c>
      <c r="B643" s="68" t="s">
        <v>2215</v>
      </c>
      <c r="C643" s="68" t="s">
        <v>2136</v>
      </c>
      <c r="D643" s="68" t="s">
        <v>2137</v>
      </c>
      <c r="E643" s="68" t="s">
        <v>21</v>
      </c>
      <c r="F643" s="68" t="s">
        <v>51</v>
      </c>
      <c r="G643" s="68" t="s">
        <v>139</v>
      </c>
      <c r="H643" s="68"/>
      <c r="I643" s="68"/>
      <c r="J643" s="68"/>
      <c r="K643" s="68"/>
      <c r="L643" s="68"/>
      <c r="M643" s="68" t="s">
        <v>1683</v>
      </c>
      <c r="N643" s="68"/>
      <c r="O643" s="68" t="s">
        <v>93</v>
      </c>
      <c r="P643" s="68" t="s">
        <v>1892</v>
      </c>
      <c r="Q643" s="68" t="s">
        <v>82</v>
      </c>
      <c r="R643" s="68" t="s">
        <v>19</v>
      </c>
      <c r="S643" s="68" t="s">
        <v>1558</v>
      </c>
      <c r="T643" s="68" t="s">
        <v>141</v>
      </c>
      <c r="U643" s="68" t="s">
        <v>61</v>
      </c>
    </row>
    <row r="644" spans="1:21" ht="33.6" thickBot="1">
      <c r="A644" s="68" t="s">
        <v>2216</v>
      </c>
      <c r="B644" s="68" t="s">
        <v>1686</v>
      </c>
      <c r="C644" s="68" t="s">
        <v>2136</v>
      </c>
      <c r="D644" s="68" t="s">
        <v>2137</v>
      </c>
      <c r="E644" s="68" t="s">
        <v>21</v>
      </c>
      <c r="F644" s="68" t="s">
        <v>51</v>
      </c>
      <c r="G644" s="68" t="s">
        <v>2079</v>
      </c>
      <c r="H644" s="68"/>
      <c r="I644" s="68"/>
      <c r="J644" s="68"/>
      <c r="K644" s="68"/>
      <c r="L644" s="68"/>
      <c r="M644" s="68" t="s">
        <v>1688</v>
      </c>
      <c r="N644" s="68"/>
      <c r="O644" s="68" t="s">
        <v>108</v>
      </c>
      <c r="P644" s="68" t="s">
        <v>1689</v>
      </c>
      <c r="Q644" s="68" t="s">
        <v>82</v>
      </c>
      <c r="R644" s="68" t="s">
        <v>19</v>
      </c>
      <c r="S644" s="68" t="s">
        <v>2143</v>
      </c>
      <c r="T644" s="68" t="s">
        <v>141</v>
      </c>
      <c r="U644" s="68" t="s">
        <v>61</v>
      </c>
    </row>
    <row r="645" spans="1:21" ht="33.6" thickBot="1">
      <c r="A645" s="68" t="s">
        <v>2217</v>
      </c>
      <c r="B645" s="68" t="s">
        <v>2218</v>
      </c>
      <c r="C645" s="68" t="s">
        <v>2136</v>
      </c>
      <c r="D645" s="68" t="s">
        <v>2137</v>
      </c>
      <c r="E645" s="68" t="s">
        <v>21</v>
      </c>
      <c r="F645" s="68" t="s">
        <v>51</v>
      </c>
      <c r="G645" s="68" t="s">
        <v>211</v>
      </c>
      <c r="H645" s="68"/>
      <c r="I645" s="68"/>
      <c r="J645" s="68"/>
      <c r="K645" s="68"/>
      <c r="L645" s="68"/>
      <c r="M645" s="68" t="s">
        <v>2082</v>
      </c>
      <c r="N645" s="68"/>
      <c r="O645" s="68" t="s">
        <v>93</v>
      </c>
      <c r="P645" s="68" t="s">
        <v>2083</v>
      </c>
      <c r="Q645" s="68" t="s">
        <v>82</v>
      </c>
      <c r="R645" s="68" t="s">
        <v>19</v>
      </c>
      <c r="S645" s="68" t="s">
        <v>2189</v>
      </c>
      <c r="T645" s="68" t="s">
        <v>141</v>
      </c>
      <c r="U645" s="68" t="s">
        <v>61</v>
      </c>
    </row>
    <row r="646" spans="1:21" ht="33.6" thickBot="1">
      <c r="A646" s="68" t="s">
        <v>2219</v>
      </c>
      <c r="B646" s="68" t="s">
        <v>2085</v>
      </c>
      <c r="C646" s="68" t="s">
        <v>2136</v>
      </c>
      <c r="D646" s="68" t="s">
        <v>2137</v>
      </c>
      <c r="E646" s="68" t="s">
        <v>21</v>
      </c>
      <c r="F646" s="68" t="s">
        <v>51</v>
      </c>
      <c r="G646" s="68" t="s">
        <v>2086</v>
      </c>
      <c r="H646" s="68"/>
      <c r="I646" s="68"/>
      <c r="J646" s="68"/>
      <c r="K646" s="68"/>
      <c r="L646" s="68"/>
      <c r="M646" s="68" t="s">
        <v>2220</v>
      </c>
      <c r="N646" s="68"/>
      <c r="O646" s="68" t="s">
        <v>232</v>
      </c>
      <c r="P646" s="68" t="s">
        <v>2221</v>
      </c>
      <c r="Q646" s="68" t="s">
        <v>82</v>
      </c>
      <c r="R646" s="68" t="s">
        <v>19</v>
      </c>
      <c r="S646" s="68" t="s">
        <v>2139</v>
      </c>
      <c r="T646" s="68" t="s">
        <v>141</v>
      </c>
      <c r="U646" s="68" t="s">
        <v>61</v>
      </c>
    </row>
    <row r="647" spans="1:21" ht="33.6" thickBot="1">
      <c r="A647" s="68" t="s">
        <v>2222</v>
      </c>
      <c r="B647" s="68" t="s">
        <v>2223</v>
      </c>
      <c r="C647" s="68" t="s">
        <v>2136</v>
      </c>
      <c r="D647" s="68" t="s">
        <v>2137</v>
      </c>
      <c r="E647" s="68" t="s">
        <v>21</v>
      </c>
      <c r="F647" s="68" t="s">
        <v>51</v>
      </c>
      <c r="G647" s="68" t="s">
        <v>459</v>
      </c>
      <c r="H647" s="68"/>
      <c r="I647" s="68"/>
      <c r="J647" s="68"/>
      <c r="K647" s="68"/>
      <c r="L647" s="68"/>
      <c r="M647" s="68" t="s">
        <v>1701</v>
      </c>
      <c r="N647" s="68"/>
      <c r="O647" s="68" t="s">
        <v>166</v>
      </c>
      <c r="P647" s="68" t="s">
        <v>2224</v>
      </c>
      <c r="Q647" s="68" t="s">
        <v>82</v>
      </c>
      <c r="R647" s="68" t="s">
        <v>21</v>
      </c>
      <c r="S647" s="68" t="s">
        <v>2139</v>
      </c>
      <c r="T647" s="68" t="s">
        <v>60</v>
      </c>
      <c r="U647" s="68" t="s">
        <v>61</v>
      </c>
    </row>
    <row r="648" spans="1:21" ht="33.6" thickBot="1">
      <c r="A648" s="68" t="s">
        <v>2225</v>
      </c>
      <c r="B648" s="68" t="s">
        <v>2226</v>
      </c>
      <c r="C648" s="68" t="s">
        <v>2136</v>
      </c>
      <c r="D648" s="68" t="s">
        <v>2137</v>
      </c>
      <c r="E648" s="68" t="s">
        <v>21</v>
      </c>
      <c r="F648" s="68" t="s">
        <v>51</v>
      </c>
      <c r="G648" s="68" t="s">
        <v>1875</v>
      </c>
      <c r="H648" s="68"/>
      <c r="I648" s="68"/>
      <c r="J648" s="68"/>
      <c r="K648" s="68"/>
      <c r="L648" s="68"/>
      <c r="M648" s="68" t="s">
        <v>1706</v>
      </c>
      <c r="N648" s="68"/>
      <c r="O648" s="68" t="s">
        <v>166</v>
      </c>
      <c r="P648" s="68" t="s">
        <v>1876</v>
      </c>
      <c r="Q648" s="68" t="s">
        <v>82</v>
      </c>
      <c r="R648" s="68" t="s">
        <v>21</v>
      </c>
      <c r="S648" s="68" t="s">
        <v>2199</v>
      </c>
      <c r="T648" s="68" t="s">
        <v>60</v>
      </c>
      <c r="U648" s="68" t="s">
        <v>61</v>
      </c>
    </row>
    <row r="649" spans="1:21" ht="17.100000000000001" thickBot="1">
      <c r="A649" s="68" t="s">
        <v>2227</v>
      </c>
      <c r="B649" s="68" t="s">
        <v>2228</v>
      </c>
      <c r="C649" s="68" t="s">
        <v>2136</v>
      </c>
      <c r="D649" s="68" t="s">
        <v>2137</v>
      </c>
      <c r="E649" s="68" t="s">
        <v>21</v>
      </c>
      <c r="F649" s="68" t="s">
        <v>51</v>
      </c>
      <c r="G649" s="68" t="s">
        <v>2094</v>
      </c>
      <c r="H649" s="68"/>
      <c r="I649" s="68"/>
      <c r="J649" s="68"/>
      <c r="K649" s="68"/>
      <c r="L649" s="68"/>
      <c r="M649" s="68" t="s">
        <v>1715</v>
      </c>
      <c r="N649" s="68"/>
      <c r="O649" s="68" t="s">
        <v>153</v>
      </c>
      <c r="P649" s="68" t="s">
        <v>1725</v>
      </c>
      <c r="Q649" s="68" t="s">
        <v>82</v>
      </c>
      <c r="R649" s="68" t="s">
        <v>19</v>
      </c>
      <c r="S649" s="68" t="s">
        <v>2196</v>
      </c>
      <c r="T649" s="68" t="s">
        <v>119</v>
      </c>
      <c r="U649" s="68" t="s">
        <v>61</v>
      </c>
    </row>
    <row r="650" spans="1:21" ht="33.6" thickBot="1">
      <c r="A650" s="68" t="s">
        <v>2229</v>
      </c>
      <c r="B650" s="68" t="s">
        <v>2230</v>
      </c>
      <c r="C650" s="68" t="s">
        <v>2136</v>
      </c>
      <c r="D650" s="68" t="s">
        <v>2137</v>
      </c>
      <c r="E650" s="68" t="s">
        <v>21</v>
      </c>
      <c r="F650" s="68" t="s">
        <v>51</v>
      </c>
      <c r="G650" s="68" t="s">
        <v>1917</v>
      </c>
      <c r="H650" s="68"/>
      <c r="I650" s="68"/>
      <c r="J650" s="68"/>
      <c r="K650" s="68"/>
      <c r="L650" s="68"/>
      <c r="M650" s="68" t="s">
        <v>1720</v>
      </c>
      <c r="N650" s="68"/>
      <c r="O650" s="68" t="s">
        <v>113</v>
      </c>
      <c r="P650" s="68" t="s">
        <v>2231</v>
      </c>
      <c r="Q650" s="68" t="s">
        <v>82</v>
      </c>
      <c r="R650" s="68" t="s">
        <v>19</v>
      </c>
      <c r="S650" s="68" t="s">
        <v>2161</v>
      </c>
      <c r="T650" s="68" t="s">
        <v>119</v>
      </c>
      <c r="U650" s="68" t="s">
        <v>61</v>
      </c>
    </row>
    <row r="651" spans="1:21" ht="33.6" thickBot="1">
      <c r="A651" s="68" t="s">
        <v>2232</v>
      </c>
      <c r="B651" s="68" t="s">
        <v>2233</v>
      </c>
      <c r="C651" s="68" t="s">
        <v>2136</v>
      </c>
      <c r="D651" s="68" t="s">
        <v>2137</v>
      </c>
      <c r="E651" s="68" t="s">
        <v>21</v>
      </c>
      <c r="F651" s="68" t="s">
        <v>51</v>
      </c>
      <c r="G651" s="68" t="s">
        <v>2234</v>
      </c>
      <c r="H651" s="68"/>
      <c r="I651" s="68"/>
      <c r="J651" s="68"/>
      <c r="K651" s="68"/>
      <c r="L651" s="68"/>
      <c r="M651" s="68" t="s">
        <v>1715</v>
      </c>
      <c r="N651" s="68"/>
      <c r="O651" s="68" t="s">
        <v>103</v>
      </c>
      <c r="P651" s="68" t="s">
        <v>1808</v>
      </c>
      <c r="Q651" s="68" t="s">
        <v>82</v>
      </c>
      <c r="R651" s="68" t="s">
        <v>19</v>
      </c>
      <c r="S651" s="68" t="s">
        <v>2139</v>
      </c>
      <c r="T651" s="68" t="s">
        <v>60</v>
      </c>
      <c r="U651" s="68" t="s">
        <v>61</v>
      </c>
    </row>
    <row r="652" spans="1:21" ht="33.6" thickBot="1">
      <c r="A652" s="68" t="s">
        <v>2235</v>
      </c>
      <c r="B652" s="68" t="s">
        <v>2236</v>
      </c>
      <c r="C652" s="68" t="s">
        <v>2136</v>
      </c>
      <c r="D652" s="68" t="s">
        <v>2137</v>
      </c>
      <c r="E652" s="68" t="s">
        <v>21</v>
      </c>
      <c r="F652" s="68" t="s">
        <v>51</v>
      </c>
      <c r="G652" s="68" t="s">
        <v>1924</v>
      </c>
      <c r="H652" s="68"/>
      <c r="I652" s="68"/>
      <c r="J652" s="68"/>
      <c r="K652" s="68"/>
      <c r="L652" s="68"/>
      <c r="M652" s="68" t="s">
        <v>2237</v>
      </c>
      <c r="N652" s="68"/>
      <c r="O652" s="68" t="s">
        <v>98</v>
      </c>
      <c r="P652" s="68" t="s">
        <v>2238</v>
      </c>
      <c r="Q652" s="68" t="s">
        <v>89</v>
      </c>
      <c r="R652" s="68" t="s">
        <v>21</v>
      </c>
      <c r="S652" s="68" t="s">
        <v>2139</v>
      </c>
      <c r="T652" s="68" t="s">
        <v>60</v>
      </c>
      <c r="U652" s="68" t="s">
        <v>61</v>
      </c>
    </row>
    <row r="653" spans="1:21" ht="33.6" thickBot="1">
      <c r="A653" s="68" t="s">
        <v>2239</v>
      </c>
      <c r="B653" s="68" t="s">
        <v>2240</v>
      </c>
      <c r="C653" s="68" t="s">
        <v>2136</v>
      </c>
      <c r="D653" s="68" t="s">
        <v>2137</v>
      </c>
      <c r="E653" s="68" t="s">
        <v>21</v>
      </c>
      <c r="F653" s="68" t="s">
        <v>51</v>
      </c>
      <c r="G653" s="68" t="s">
        <v>1696</v>
      </c>
      <c r="H653" s="68"/>
      <c r="I653" s="68"/>
      <c r="J653" s="68"/>
      <c r="K653" s="68"/>
      <c r="L653" s="68"/>
      <c r="M653" s="68" t="s">
        <v>228</v>
      </c>
      <c r="N653" s="68"/>
      <c r="O653" s="68" t="s">
        <v>98</v>
      </c>
      <c r="P653" s="68" t="s">
        <v>1808</v>
      </c>
      <c r="Q653" s="68" t="s">
        <v>82</v>
      </c>
      <c r="R653" s="68" t="s">
        <v>19</v>
      </c>
      <c r="S653" s="68" t="s">
        <v>2139</v>
      </c>
      <c r="T653" s="68" t="s">
        <v>141</v>
      </c>
      <c r="U653" s="68" t="s">
        <v>61</v>
      </c>
    </row>
    <row r="654" spans="1:21" ht="33.6" thickBot="1">
      <c r="A654" s="68" t="s">
        <v>2241</v>
      </c>
      <c r="B654" s="68" t="s">
        <v>1931</v>
      </c>
      <c r="C654" s="68" t="s">
        <v>2136</v>
      </c>
      <c r="D654" s="68" t="s">
        <v>2137</v>
      </c>
      <c r="E654" s="68" t="s">
        <v>21</v>
      </c>
      <c r="F654" s="68" t="s">
        <v>51</v>
      </c>
      <c r="G654" s="68" t="s">
        <v>1932</v>
      </c>
      <c r="H654" s="68"/>
      <c r="I654" s="68"/>
      <c r="J654" s="68"/>
      <c r="K654" s="68"/>
      <c r="L654" s="68"/>
      <c r="M654" s="68" t="s">
        <v>1736</v>
      </c>
      <c r="N654" s="68"/>
      <c r="O654" s="68" t="s">
        <v>166</v>
      </c>
      <c r="P654" s="68" t="s">
        <v>1737</v>
      </c>
      <c r="Q654" s="68" t="s">
        <v>82</v>
      </c>
      <c r="R654" s="68" t="s">
        <v>19</v>
      </c>
      <c r="S654" s="68" t="s">
        <v>1558</v>
      </c>
      <c r="T654" s="68" t="s">
        <v>1738</v>
      </c>
      <c r="U654" s="68" t="s">
        <v>61</v>
      </c>
    </row>
    <row r="655" spans="1:21" ht="33.6" thickBot="1">
      <c r="A655" s="68" t="s">
        <v>2242</v>
      </c>
      <c r="B655" s="68" t="s">
        <v>2243</v>
      </c>
      <c r="C655" s="68" t="s">
        <v>2136</v>
      </c>
      <c r="D655" s="68" t="s">
        <v>2137</v>
      </c>
      <c r="E655" s="68" t="s">
        <v>21</v>
      </c>
      <c r="F655" s="68" t="s">
        <v>51</v>
      </c>
      <c r="G655" s="68" t="s">
        <v>2244</v>
      </c>
      <c r="H655" s="68"/>
      <c r="I655" s="68"/>
      <c r="J655" s="68"/>
      <c r="K655" s="68"/>
      <c r="L655" s="68"/>
      <c r="M655" s="68" t="s">
        <v>1936</v>
      </c>
      <c r="N655" s="68"/>
      <c r="O655" s="68" t="s">
        <v>103</v>
      </c>
      <c r="P655" s="68" t="s">
        <v>1833</v>
      </c>
      <c r="Q655" s="68" t="s">
        <v>82</v>
      </c>
      <c r="R655" s="68" t="s">
        <v>19</v>
      </c>
      <c r="S655" s="68" t="s">
        <v>2139</v>
      </c>
      <c r="T655" s="68" t="s">
        <v>60</v>
      </c>
      <c r="U655" s="68" t="s">
        <v>61</v>
      </c>
    </row>
    <row r="656" spans="1:21" ht="33.6" thickBot="1">
      <c r="A656" s="68" t="s">
        <v>2245</v>
      </c>
      <c r="B656" s="68" t="s">
        <v>2246</v>
      </c>
      <c r="C656" s="68" t="s">
        <v>2136</v>
      </c>
      <c r="D656" s="68" t="s">
        <v>2137</v>
      </c>
      <c r="E656" s="68" t="s">
        <v>21</v>
      </c>
      <c r="F656" s="68" t="s">
        <v>51</v>
      </c>
      <c r="G656" s="68" t="s">
        <v>2116</v>
      </c>
      <c r="H656" s="68"/>
      <c r="I656" s="68"/>
      <c r="J656" s="68"/>
      <c r="K656" s="68"/>
      <c r="L656" s="68"/>
      <c r="M656" s="68" t="s">
        <v>1936</v>
      </c>
      <c r="N656" s="68"/>
      <c r="O656" s="68" t="s">
        <v>113</v>
      </c>
      <c r="P656" s="68" t="s">
        <v>2117</v>
      </c>
      <c r="Q656" s="68" t="s">
        <v>82</v>
      </c>
      <c r="R656" s="68" t="s">
        <v>19</v>
      </c>
      <c r="S656" s="68" t="s">
        <v>2189</v>
      </c>
      <c r="T656" s="68" t="s">
        <v>83</v>
      </c>
      <c r="U656" s="68" t="s">
        <v>61</v>
      </c>
    </row>
    <row r="657" spans="1:21" ht="33.6" thickBot="1">
      <c r="A657" s="68" t="s">
        <v>2247</v>
      </c>
      <c r="B657" s="68" t="s">
        <v>2248</v>
      </c>
      <c r="C657" s="68" t="s">
        <v>2136</v>
      </c>
      <c r="D657" s="68" t="s">
        <v>2137</v>
      </c>
      <c r="E657" s="68" t="s">
        <v>21</v>
      </c>
      <c r="F657" s="68" t="s">
        <v>51</v>
      </c>
      <c r="G657" s="68" t="s">
        <v>1942</v>
      </c>
      <c r="H657" s="68"/>
      <c r="I657" s="68"/>
      <c r="J657" s="68"/>
      <c r="K657" s="68"/>
      <c r="L657" s="68"/>
      <c r="M657" s="68" t="s">
        <v>1752</v>
      </c>
      <c r="N657" s="68"/>
      <c r="O657" s="68" t="s">
        <v>113</v>
      </c>
      <c r="P657" s="68" t="s">
        <v>1943</v>
      </c>
      <c r="Q657" s="68" t="s">
        <v>82</v>
      </c>
      <c r="R657" s="68" t="s">
        <v>21</v>
      </c>
      <c r="S657" s="68" t="s">
        <v>2199</v>
      </c>
      <c r="T657" s="68" t="s">
        <v>60</v>
      </c>
      <c r="U657" s="68" t="s">
        <v>61</v>
      </c>
    </row>
    <row r="658" spans="1:21" ht="33.6" thickBot="1">
      <c r="A658" s="68" t="s">
        <v>2249</v>
      </c>
      <c r="B658" s="68" t="s">
        <v>2250</v>
      </c>
      <c r="C658" s="68" t="s">
        <v>2136</v>
      </c>
      <c r="D658" s="68" t="s">
        <v>2137</v>
      </c>
      <c r="E658" s="68" t="s">
        <v>21</v>
      </c>
      <c r="F658" s="68" t="s">
        <v>51</v>
      </c>
      <c r="G658" s="68" t="s">
        <v>1946</v>
      </c>
      <c r="H658" s="68"/>
      <c r="I658" s="68"/>
      <c r="J658" s="68"/>
      <c r="K658" s="68"/>
      <c r="L658" s="68"/>
      <c r="M658" s="68" t="s">
        <v>1757</v>
      </c>
      <c r="N658" s="68"/>
      <c r="O658" s="68" t="s">
        <v>103</v>
      </c>
      <c r="P658" s="68" t="s">
        <v>2251</v>
      </c>
      <c r="Q658" s="68" t="s">
        <v>82</v>
      </c>
      <c r="R658" s="68" t="s">
        <v>21</v>
      </c>
      <c r="S658" s="68" t="s">
        <v>2189</v>
      </c>
      <c r="T658" s="68" t="s">
        <v>83</v>
      </c>
      <c r="U658" s="68" t="s">
        <v>61</v>
      </c>
    </row>
    <row r="659" spans="1:21" ht="33.6" thickBot="1">
      <c r="A659" s="68" t="s">
        <v>2252</v>
      </c>
      <c r="B659" s="68" t="s">
        <v>1948</v>
      </c>
      <c r="C659" s="68" t="s">
        <v>2136</v>
      </c>
      <c r="D659" s="68" t="s">
        <v>2137</v>
      </c>
      <c r="E659" s="68" t="s">
        <v>21</v>
      </c>
      <c r="F659" s="68" t="s">
        <v>51</v>
      </c>
      <c r="G659" s="68" t="s">
        <v>2253</v>
      </c>
      <c r="H659" s="68"/>
      <c r="I659" s="68"/>
      <c r="J659" s="68"/>
      <c r="K659" s="68"/>
      <c r="L659" s="68"/>
      <c r="M659" s="68" t="s">
        <v>1762</v>
      </c>
      <c r="N659" s="68"/>
      <c r="O659" s="68" t="s">
        <v>166</v>
      </c>
      <c r="P659" s="68" t="s">
        <v>1950</v>
      </c>
      <c r="Q659" s="68" t="s">
        <v>82</v>
      </c>
      <c r="R659" s="68" t="s">
        <v>21</v>
      </c>
      <c r="S659" s="68" t="s">
        <v>2152</v>
      </c>
      <c r="T659" s="68" t="s">
        <v>119</v>
      </c>
      <c r="U659" s="68" t="s">
        <v>61</v>
      </c>
    </row>
    <row r="660" spans="1:21" ht="17.100000000000001" thickBot="1">
      <c r="A660" s="68" t="s">
        <v>2254</v>
      </c>
      <c r="B660" s="68" t="s">
        <v>2255</v>
      </c>
      <c r="C660" s="68" t="s">
        <v>2136</v>
      </c>
      <c r="D660" s="68" t="s">
        <v>2137</v>
      </c>
      <c r="E660" s="68" t="s">
        <v>21</v>
      </c>
      <c r="F660" s="68" t="s">
        <v>51</v>
      </c>
      <c r="G660" s="68" t="s">
        <v>2256</v>
      </c>
      <c r="H660" s="68"/>
      <c r="I660" s="68"/>
      <c r="J660" s="68"/>
      <c r="K660" s="68"/>
      <c r="L660" s="68"/>
      <c r="M660" s="68" t="s">
        <v>228</v>
      </c>
      <c r="N660" s="68"/>
      <c r="O660" s="68" t="s">
        <v>232</v>
      </c>
      <c r="P660" s="68" t="s">
        <v>1953</v>
      </c>
      <c r="Q660" s="68" t="s">
        <v>82</v>
      </c>
      <c r="R660" s="68" t="s">
        <v>21</v>
      </c>
      <c r="S660" s="68" t="s">
        <v>2184</v>
      </c>
      <c r="T660" s="68" t="s">
        <v>141</v>
      </c>
      <c r="U660" s="68" t="s">
        <v>61</v>
      </c>
    </row>
    <row r="661" spans="1:21" ht="17.100000000000001" thickBot="1">
      <c r="A661" s="68" t="s">
        <v>2257</v>
      </c>
      <c r="B661" s="68" t="s">
        <v>2258</v>
      </c>
      <c r="C661" s="68" t="s">
        <v>2136</v>
      </c>
      <c r="D661" s="68" t="s">
        <v>2137</v>
      </c>
      <c r="E661" s="68" t="s">
        <v>21</v>
      </c>
      <c r="F661" s="68" t="s">
        <v>51</v>
      </c>
      <c r="G661" s="68" t="s">
        <v>2259</v>
      </c>
      <c r="H661" s="68"/>
      <c r="I661" s="68"/>
      <c r="J661" s="68"/>
      <c r="K661" s="68"/>
      <c r="L661" s="68"/>
      <c r="M661" s="68" t="s">
        <v>1771</v>
      </c>
      <c r="N661" s="68"/>
      <c r="O661" s="68" t="s">
        <v>153</v>
      </c>
      <c r="P661" s="68" t="s">
        <v>1772</v>
      </c>
      <c r="Q661" s="68" t="s">
        <v>82</v>
      </c>
      <c r="R661" s="68" t="s">
        <v>19</v>
      </c>
      <c r="S661" s="68" t="s">
        <v>2161</v>
      </c>
      <c r="T661" s="68" t="s">
        <v>60</v>
      </c>
      <c r="U661" s="68" t="s">
        <v>61</v>
      </c>
    </row>
    <row r="662" spans="1:21" ht="33.6" thickBot="1">
      <c r="A662" s="68" t="s">
        <v>2260</v>
      </c>
      <c r="B662" s="68" t="s">
        <v>1958</v>
      </c>
      <c r="C662" s="68" t="s">
        <v>2136</v>
      </c>
      <c r="D662" s="68" t="s">
        <v>2137</v>
      </c>
      <c r="E662" s="68" t="s">
        <v>21</v>
      </c>
      <c r="F662" s="68" t="s">
        <v>51</v>
      </c>
      <c r="G662" s="68" t="s">
        <v>1696</v>
      </c>
      <c r="H662" s="68"/>
      <c r="I662" s="68"/>
      <c r="J662" s="68"/>
      <c r="K662" s="68"/>
      <c r="L662" s="68"/>
      <c r="M662" s="68" t="s">
        <v>1775</v>
      </c>
      <c r="N662" s="68"/>
      <c r="O662" s="68" t="s">
        <v>108</v>
      </c>
      <c r="P662" s="68" t="s">
        <v>1959</v>
      </c>
      <c r="Q662" s="68" t="s">
        <v>82</v>
      </c>
      <c r="R662" s="68" t="s">
        <v>19</v>
      </c>
      <c r="S662" s="68" t="s">
        <v>2143</v>
      </c>
      <c r="T662" s="68" t="s">
        <v>141</v>
      </c>
      <c r="U662" s="68" t="s">
        <v>61</v>
      </c>
    </row>
    <row r="663" spans="1:21" ht="33.6" thickBot="1">
      <c r="A663" s="68" t="s">
        <v>2261</v>
      </c>
      <c r="B663" s="68" t="s">
        <v>2262</v>
      </c>
      <c r="C663" s="68" t="s">
        <v>2136</v>
      </c>
      <c r="D663" s="68" t="s">
        <v>2263</v>
      </c>
      <c r="E663" s="68" t="s">
        <v>21</v>
      </c>
      <c r="F663" s="68" t="s">
        <v>51</v>
      </c>
      <c r="G663" s="68" t="s">
        <v>285</v>
      </c>
      <c r="H663" s="68"/>
      <c r="I663" s="68"/>
      <c r="J663" s="68"/>
      <c r="K663" s="68"/>
      <c r="L663" s="68"/>
      <c r="M663" s="68" t="s">
        <v>269</v>
      </c>
      <c r="N663" s="68"/>
      <c r="O663" s="68" t="s">
        <v>103</v>
      </c>
      <c r="P663" s="68" t="s">
        <v>2264</v>
      </c>
      <c r="Q663" s="68" t="s">
        <v>89</v>
      </c>
      <c r="R663" s="68" t="s">
        <v>19</v>
      </c>
      <c r="S663" s="68" t="s">
        <v>2265</v>
      </c>
      <c r="T663" s="68" t="s">
        <v>60</v>
      </c>
      <c r="U663" s="68" t="s">
        <v>61</v>
      </c>
    </row>
    <row r="664" spans="1:21" ht="33.6" thickBot="1">
      <c r="A664" s="68" t="s">
        <v>2266</v>
      </c>
      <c r="B664" s="68" t="s">
        <v>1965</v>
      </c>
      <c r="C664" s="68" t="s">
        <v>2136</v>
      </c>
      <c r="D664" s="68" t="s">
        <v>2263</v>
      </c>
      <c r="E664" s="68" t="s">
        <v>21</v>
      </c>
      <c r="F664" s="68" t="s">
        <v>51</v>
      </c>
      <c r="G664" s="68" t="s">
        <v>2267</v>
      </c>
      <c r="H664" s="68"/>
      <c r="I664" s="68"/>
      <c r="J664" s="68"/>
      <c r="K664" s="68"/>
      <c r="L664" s="68"/>
      <c r="M664" s="68" t="s">
        <v>1788</v>
      </c>
      <c r="N664" s="68"/>
      <c r="O664" s="68" t="s">
        <v>232</v>
      </c>
      <c r="P664" s="68" t="s">
        <v>2268</v>
      </c>
      <c r="Q664" s="68" t="s">
        <v>59</v>
      </c>
      <c r="R664" s="68" t="s">
        <v>21</v>
      </c>
      <c r="S664" s="68" t="s">
        <v>1558</v>
      </c>
      <c r="T664" s="68" t="s">
        <v>60</v>
      </c>
      <c r="U664" s="68" t="s">
        <v>61</v>
      </c>
    </row>
    <row r="665" spans="1:21" ht="33.6" thickBot="1">
      <c r="A665" s="68" t="s">
        <v>2269</v>
      </c>
      <c r="B665" s="68" t="s">
        <v>1791</v>
      </c>
      <c r="C665" s="68" t="s">
        <v>2136</v>
      </c>
      <c r="D665" s="68" t="s">
        <v>2263</v>
      </c>
      <c r="E665" s="68" t="s">
        <v>21</v>
      </c>
      <c r="F665" s="68" t="s">
        <v>51</v>
      </c>
      <c r="G665" s="68" t="s">
        <v>1792</v>
      </c>
      <c r="H665" s="68"/>
      <c r="I665" s="68"/>
      <c r="J665" s="68"/>
      <c r="K665" s="68"/>
      <c r="L665" s="68"/>
      <c r="M665" s="68" t="s">
        <v>1793</v>
      </c>
      <c r="N665" s="68"/>
      <c r="O665" s="68" t="s">
        <v>108</v>
      </c>
      <c r="P665" s="68" t="s">
        <v>1971</v>
      </c>
      <c r="Q665" s="68" t="s">
        <v>82</v>
      </c>
      <c r="R665" s="68" t="s">
        <v>19</v>
      </c>
      <c r="S665" s="68" t="s">
        <v>1558</v>
      </c>
      <c r="T665" s="68" t="s">
        <v>60</v>
      </c>
      <c r="U665" s="68" t="s">
        <v>61</v>
      </c>
    </row>
    <row r="666" spans="1:21" ht="33.6" thickBot="1">
      <c r="A666" s="68" t="s">
        <v>2270</v>
      </c>
      <c r="B666" s="68" t="s">
        <v>2271</v>
      </c>
      <c r="C666" s="68" t="s">
        <v>2136</v>
      </c>
      <c r="D666" s="68" t="s">
        <v>2263</v>
      </c>
      <c r="E666" s="68" t="s">
        <v>21</v>
      </c>
      <c r="F666" s="68" t="s">
        <v>51</v>
      </c>
      <c r="G666" s="68" t="s">
        <v>1797</v>
      </c>
      <c r="H666" s="68"/>
      <c r="I666" s="68"/>
      <c r="J666" s="68"/>
      <c r="K666" s="68"/>
      <c r="L666" s="68"/>
      <c r="M666" s="68" t="s">
        <v>1975</v>
      </c>
      <c r="N666" s="68"/>
      <c r="O666" s="68" t="s">
        <v>93</v>
      </c>
      <c r="P666" s="68" t="s">
        <v>1976</v>
      </c>
      <c r="Q666" s="68" t="s">
        <v>82</v>
      </c>
      <c r="R666" s="68" t="s">
        <v>19</v>
      </c>
      <c r="S666" s="68" t="s">
        <v>1558</v>
      </c>
      <c r="T666" s="68" t="s">
        <v>60</v>
      </c>
      <c r="U666" s="68" t="s">
        <v>61</v>
      </c>
    </row>
    <row r="667" spans="1:21" ht="17.100000000000001" thickBot="1">
      <c r="A667" s="68" t="s">
        <v>2272</v>
      </c>
      <c r="B667" s="68" t="s">
        <v>1801</v>
      </c>
      <c r="C667" s="68" t="s">
        <v>2136</v>
      </c>
      <c r="D667" s="68" t="s">
        <v>2263</v>
      </c>
      <c r="E667" s="68" t="s">
        <v>21</v>
      </c>
      <c r="F667" s="68" t="s">
        <v>51</v>
      </c>
      <c r="G667" s="68" t="s">
        <v>316</v>
      </c>
      <c r="H667" s="68"/>
      <c r="I667" s="68"/>
      <c r="J667" s="68"/>
      <c r="K667" s="68"/>
      <c r="L667" s="68"/>
      <c r="M667" s="68" t="s">
        <v>1980</v>
      </c>
      <c r="N667" s="68"/>
      <c r="O667" s="68" t="s">
        <v>117</v>
      </c>
      <c r="P667" s="68" t="s">
        <v>1589</v>
      </c>
      <c r="Q667" s="68" t="s">
        <v>89</v>
      </c>
      <c r="R667" s="68" t="s">
        <v>19</v>
      </c>
      <c r="S667" s="68" t="s">
        <v>2265</v>
      </c>
      <c r="T667" s="68" t="s">
        <v>60</v>
      </c>
      <c r="U667" s="68" t="s">
        <v>61</v>
      </c>
    </row>
    <row r="668" spans="1:21" ht="33.6" thickBot="1">
      <c r="A668" s="68" t="s">
        <v>2273</v>
      </c>
      <c r="B668" s="68" t="s">
        <v>2274</v>
      </c>
      <c r="C668" s="68" t="s">
        <v>2136</v>
      </c>
      <c r="D668" s="68" t="s">
        <v>2263</v>
      </c>
      <c r="E668" s="68" t="s">
        <v>21</v>
      </c>
      <c r="F668" s="68" t="s">
        <v>51</v>
      </c>
      <c r="G668" s="68" t="s">
        <v>1806</v>
      </c>
      <c r="H668" s="68"/>
      <c r="I668" s="68"/>
      <c r="J668" s="68"/>
      <c r="K668" s="68"/>
      <c r="L668" s="68"/>
      <c r="M668" s="68" t="s">
        <v>1984</v>
      </c>
      <c r="N668" s="68"/>
      <c r="O668" s="68" t="s">
        <v>87</v>
      </c>
      <c r="P668" s="68" t="s">
        <v>2151</v>
      </c>
      <c r="Q668" s="68" t="s">
        <v>89</v>
      </c>
      <c r="R668" s="68" t="s">
        <v>19</v>
      </c>
      <c r="S668" s="68" t="s">
        <v>2265</v>
      </c>
      <c r="T668" s="68" t="s">
        <v>60</v>
      </c>
      <c r="U668" s="68" t="s">
        <v>61</v>
      </c>
    </row>
    <row r="669" spans="1:21" ht="33.6" thickBot="1">
      <c r="A669" s="68" t="s">
        <v>2275</v>
      </c>
      <c r="B669" s="68" t="s">
        <v>2276</v>
      </c>
      <c r="C669" s="68" t="s">
        <v>2136</v>
      </c>
      <c r="D669" s="68" t="s">
        <v>2263</v>
      </c>
      <c r="E669" s="68" t="s">
        <v>21</v>
      </c>
      <c r="F669" s="68" t="s">
        <v>51</v>
      </c>
      <c r="G669" s="68" t="s">
        <v>305</v>
      </c>
      <c r="H669" s="68"/>
      <c r="I669" s="68"/>
      <c r="J669" s="68"/>
      <c r="K669" s="68"/>
      <c r="L669" s="68"/>
      <c r="M669" s="68" t="s">
        <v>2277</v>
      </c>
      <c r="N669" s="68"/>
      <c r="O669" s="68" t="s">
        <v>123</v>
      </c>
      <c r="P669" s="68" t="s">
        <v>1808</v>
      </c>
      <c r="Q669" s="68" t="s">
        <v>82</v>
      </c>
      <c r="R669" s="68" t="s">
        <v>21</v>
      </c>
      <c r="S669" s="68" t="s">
        <v>2278</v>
      </c>
      <c r="T669" s="68" t="s">
        <v>60</v>
      </c>
      <c r="U669" s="68" t="s">
        <v>61</v>
      </c>
    </row>
    <row r="670" spans="1:21" ht="33.6" thickBot="1">
      <c r="A670" s="68" t="s">
        <v>2279</v>
      </c>
      <c r="B670" s="68" t="s">
        <v>2156</v>
      </c>
      <c r="C670" s="68" t="s">
        <v>2136</v>
      </c>
      <c r="D670" s="68" t="s">
        <v>2263</v>
      </c>
      <c r="E670" s="68" t="s">
        <v>21</v>
      </c>
      <c r="F670" s="68" t="s">
        <v>51</v>
      </c>
      <c r="G670" s="68" t="s">
        <v>2280</v>
      </c>
      <c r="H670" s="68"/>
      <c r="I670" s="68"/>
      <c r="J670" s="68"/>
      <c r="K670" s="68"/>
      <c r="L670" s="68"/>
      <c r="M670" s="68" t="s">
        <v>2281</v>
      </c>
      <c r="N670" s="68"/>
      <c r="O670" s="68" t="s">
        <v>103</v>
      </c>
      <c r="P670" s="68" t="s">
        <v>1675</v>
      </c>
      <c r="Q670" s="68" t="s">
        <v>82</v>
      </c>
      <c r="R670" s="68" t="s">
        <v>19</v>
      </c>
      <c r="S670" s="68" t="s">
        <v>1558</v>
      </c>
      <c r="T670" s="68" t="s">
        <v>119</v>
      </c>
      <c r="U670" s="68" t="s">
        <v>61</v>
      </c>
    </row>
    <row r="671" spans="1:21" ht="33.6" thickBot="1">
      <c r="A671" s="68" t="s">
        <v>2282</v>
      </c>
      <c r="B671" s="68" t="s">
        <v>2283</v>
      </c>
      <c r="C671" s="68" t="s">
        <v>2136</v>
      </c>
      <c r="D671" s="68" t="s">
        <v>2263</v>
      </c>
      <c r="E671" s="68" t="s">
        <v>21</v>
      </c>
      <c r="F671" s="68" t="s">
        <v>51</v>
      </c>
      <c r="G671" s="68" t="s">
        <v>2284</v>
      </c>
      <c r="H671" s="68"/>
      <c r="I671" s="68"/>
      <c r="J671" s="68"/>
      <c r="K671" s="68"/>
      <c r="L671" s="68"/>
      <c r="M671" s="68" t="s">
        <v>1715</v>
      </c>
      <c r="N671" s="68"/>
      <c r="O671" s="68" t="s">
        <v>153</v>
      </c>
      <c r="P671" s="68" t="s">
        <v>1999</v>
      </c>
      <c r="Q671" s="68" t="s">
        <v>82</v>
      </c>
      <c r="R671" s="68" t="s">
        <v>19</v>
      </c>
      <c r="S671" s="68" t="s">
        <v>2285</v>
      </c>
      <c r="T671" s="68" t="s">
        <v>60</v>
      </c>
      <c r="U671" s="68" t="s">
        <v>61</v>
      </c>
    </row>
    <row r="672" spans="1:21" ht="33.6" thickBot="1">
      <c r="A672" s="68" t="s">
        <v>2265</v>
      </c>
      <c r="B672" s="68" t="s">
        <v>2286</v>
      </c>
      <c r="C672" s="68" t="s">
        <v>2136</v>
      </c>
      <c r="D672" s="68" t="s">
        <v>2263</v>
      </c>
      <c r="E672" s="68" t="s">
        <v>21</v>
      </c>
      <c r="F672" s="68" t="s">
        <v>51</v>
      </c>
      <c r="G672" s="68" t="s">
        <v>640</v>
      </c>
      <c r="H672" s="68"/>
      <c r="I672" s="68"/>
      <c r="J672" s="68"/>
      <c r="K672" s="68"/>
      <c r="L672" s="68"/>
      <c r="M672" s="68" t="s">
        <v>1596</v>
      </c>
      <c r="N672" s="68"/>
      <c r="O672" s="68" t="s">
        <v>103</v>
      </c>
      <c r="P672" s="68" t="s">
        <v>2004</v>
      </c>
      <c r="Q672" s="68" t="s">
        <v>82</v>
      </c>
      <c r="R672" s="68" t="s">
        <v>19</v>
      </c>
      <c r="S672" s="68" t="s">
        <v>1558</v>
      </c>
      <c r="T672" s="68" t="s">
        <v>60</v>
      </c>
      <c r="U672" s="68" t="s">
        <v>61</v>
      </c>
    </row>
    <row r="673" spans="1:21" ht="33.6" thickBot="1">
      <c r="A673" s="68" t="s">
        <v>2278</v>
      </c>
      <c r="B673" s="68" t="s">
        <v>2287</v>
      </c>
      <c r="C673" s="68" t="s">
        <v>2136</v>
      </c>
      <c r="D673" s="68" t="s">
        <v>2263</v>
      </c>
      <c r="E673" s="68" t="s">
        <v>21</v>
      </c>
      <c r="F673" s="68" t="s">
        <v>51</v>
      </c>
      <c r="G673" s="68" t="s">
        <v>2006</v>
      </c>
      <c r="H673" s="68"/>
      <c r="I673" s="68"/>
      <c r="J673" s="68"/>
      <c r="K673" s="68"/>
      <c r="L673" s="68"/>
      <c r="M673" s="68" t="s">
        <v>2007</v>
      </c>
      <c r="N673" s="68"/>
      <c r="O673" s="68" t="s">
        <v>57</v>
      </c>
      <c r="P673" s="68" t="s">
        <v>2288</v>
      </c>
      <c r="Q673" s="68" t="s">
        <v>82</v>
      </c>
      <c r="R673" s="68" t="s">
        <v>19</v>
      </c>
      <c r="S673" s="68" t="s">
        <v>2265</v>
      </c>
      <c r="T673" s="68" t="s">
        <v>60</v>
      </c>
      <c r="U673" s="68" t="s">
        <v>61</v>
      </c>
    </row>
    <row r="674" spans="1:21" ht="33.6" thickBot="1">
      <c r="A674" s="68" t="s">
        <v>2289</v>
      </c>
      <c r="B674" s="68" t="s">
        <v>2290</v>
      </c>
      <c r="C674" s="68" t="s">
        <v>2136</v>
      </c>
      <c r="D674" s="68" t="s">
        <v>2263</v>
      </c>
      <c r="E674" s="68" t="s">
        <v>21</v>
      </c>
      <c r="F674" s="68" t="s">
        <v>51</v>
      </c>
      <c r="G674" s="68" t="s">
        <v>2194</v>
      </c>
      <c r="H674" s="68"/>
      <c r="I674" s="68"/>
      <c r="J674" s="68"/>
      <c r="K674" s="68"/>
      <c r="L674" s="68"/>
      <c r="M674" s="68" t="s">
        <v>1715</v>
      </c>
      <c r="N674" s="68"/>
      <c r="O674" s="68" t="s">
        <v>98</v>
      </c>
      <c r="P674" s="68" t="s">
        <v>2013</v>
      </c>
      <c r="Q674" s="68" t="s">
        <v>82</v>
      </c>
      <c r="R674" s="68" t="s">
        <v>21</v>
      </c>
      <c r="S674" s="68" t="s">
        <v>2265</v>
      </c>
      <c r="T674" s="68" t="s">
        <v>60</v>
      </c>
      <c r="U674" s="68" t="s">
        <v>61</v>
      </c>
    </row>
    <row r="675" spans="1:21" ht="33.6" thickBot="1">
      <c r="A675" s="68" t="s">
        <v>2285</v>
      </c>
      <c r="B675" s="68" t="s">
        <v>2291</v>
      </c>
      <c r="C675" s="68" t="s">
        <v>2136</v>
      </c>
      <c r="D675" s="68" t="s">
        <v>2263</v>
      </c>
      <c r="E675" s="68" t="s">
        <v>21</v>
      </c>
      <c r="F675" s="68" t="s">
        <v>51</v>
      </c>
      <c r="G675" s="68" t="s">
        <v>2292</v>
      </c>
      <c r="H675" s="68"/>
      <c r="I675" s="68"/>
      <c r="J675" s="68"/>
      <c r="K675" s="68"/>
      <c r="L675" s="68"/>
      <c r="M675" s="68" t="s">
        <v>1641</v>
      </c>
      <c r="N675" s="68"/>
      <c r="O675" s="68" t="s">
        <v>153</v>
      </c>
      <c r="P675" s="68" t="s">
        <v>2293</v>
      </c>
      <c r="Q675" s="68" t="s">
        <v>82</v>
      </c>
      <c r="R675" s="68" t="s">
        <v>19</v>
      </c>
      <c r="S675" s="68" t="s">
        <v>2265</v>
      </c>
      <c r="T675" s="68" t="s">
        <v>60</v>
      </c>
      <c r="U675" s="68" t="s">
        <v>61</v>
      </c>
    </row>
    <row r="676" spans="1:21" ht="17.100000000000001" thickBot="1">
      <c r="A676" s="68" t="s">
        <v>2294</v>
      </c>
      <c r="B676" s="68" t="s">
        <v>2175</v>
      </c>
      <c r="C676" s="68" t="s">
        <v>2136</v>
      </c>
      <c r="D676" s="68" t="s">
        <v>2263</v>
      </c>
      <c r="E676" s="68" t="s">
        <v>21</v>
      </c>
      <c r="F676" s="68" t="s">
        <v>51</v>
      </c>
      <c r="G676" s="68" t="s">
        <v>2295</v>
      </c>
      <c r="H676" s="68"/>
      <c r="I676" s="68"/>
      <c r="J676" s="68"/>
      <c r="K676" s="68"/>
      <c r="L676" s="68"/>
      <c r="M676" s="68" t="s">
        <v>2296</v>
      </c>
      <c r="N676" s="68"/>
      <c r="O676" s="68" t="s">
        <v>117</v>
      </c>
      <c r="P676" s="68" t="s">
        <v>2297</v>
      </c>
      <c r="Q676" s="68" t="s">
        <v>82</v>
      </c>
      <c r="R676" s="68" t="s">
        <v>19</v>
      </c>
      <c r="S676" s="68" t="s">
        <v>1558</v>
      </c>
      <c r="T676" s="68" t="s">
        <v>60</v>
      </c>
      <c r="U676" s="68" t="s">
        <v>61</v>
      </c>
    </row>
    <row r="677" spans="1:21" ht="33.6" thickBot="1">
      <c r="A677" s="68" t="s">
        <v>2298</v>
      </c>
      <c r="B677" s="68" t="s">
        <v>2022</v>
      </c>
      <c r="C677" s="68" t="s">
        <v>2136</v>
      </c>
      <c r="D677" s="68" t="s">
        <v>2263</v>
      </c>
      <c r="E677" s="68" t="s">
        <v>21</v>
      </c>
      <c r="F677" s="68" t="s">
        <v>51</v>
      </c>
      <c r="G677" s="68" t="s">
        <v>495</v>
      </c>
      <c r="H677" s="68"/>
      <c r="I677" s="68"/>
      <c r="J677" s="68"/>
      <c r="K677" s="68"/>
      <c r="L677" s="68"/>
      <c r="M677" s="68" t="s">
        <v>1798</v>
      </c>
      <c r="N677" s="68"/>
      <c r="O677" s="68" t="s">
        <v>103</v>
      </c>
      <c r="P677" s="68" t="s">
        <v>2178</v>
      </c>
      <c r="Q677" s="68" t="s">
        <v>82</v>
      </c>
      <c r="R677" s="68" t="s">
        <v>19</v>
      </c>
      <c r="S677" s="68" t="s">
        <v>2265</v>
      </c>
      <c r="T677" s="68" t="s">
        <v>60</v>
      </c>
      <c r="U677" s="68" t="s">
        <v>61</v>
      </c>
    </row>
    <row r="678" spans="1:21" ht="33.6" thickBot="1">
      <c r="A678" s="68" t="s">
        <v>2299</v>
      </c>
      <c r="B678" s="68" t="s">
        <v>2180</v>
      </c>
      <c r="C678" s="68" t="s">
        <v>2136</v>
      </c>
      <c r="D678" s="68" t="s">
        <v>2263</v>
      </c>
      <c r="E678" s="68" t="s">
        <v>21</v>
      </c>
      <c r="F678" s="68" t="s">
        <v>51</v>
      </c>
      <c r="G678" s="68" t="s">
        <v>640</v>
      </c>
      <c r="H678" s="68"/>
      <c r="I678" s="68"/>
      <c r="J678" s="68"/>
      <c r="K678" s="68"/>
      <c r="L678" s="68"/>
      <c r="M678" s="68" t="s">
        <v>2027</v>
      </c>
      <c r="N678" s="68"/>
      <c r="O678" s="68" t="s">
        <v>113</v>
      </c>
      <c r="P678" s="68" t="s">
        <v>2293</v>
      </c>
      <c r="Q678" s="68" t="s">
        <v>82</v>
      </c>
      <c r="R678" s="68" t="s">
        <v>21</v>
      </c>
      <c r="S678" s="68" t="s">
        <v>2265</v>
      </c>
      <c r="T678" s="68" t="s">
        <v>60</v>
      </c>
      <c r="U678" s="68" t="s">
        <v>61</v>
      </c>
    </row>
    <row r="679" spans="1:21" ht="33.6" thickBot="1">
      <c r="A679" s="68" t="s">
        <v>2300</v>
      </c>
      <c r="B679" s="68" t="s">
        <v>147</v>
      </c>
      <c r="C679" s="68" t="s">
        <v>2136</v>
      </c>
      <c r="D679" s="68" t="s">
        <v>2263</v>
      </c>
      <c r="E679" s="68" t="s">
        <v>21</v>
      </c>
      <c r="F679" s="68" t="s">
        <v>51</v>
      </c>
      <c r="G679" s="68" t="s">
        <v>348</v>
      </c>
      <c r="H679" s="68"/>
      <c r="I679" s="68"/>
      <c r="J679" s="68"/>
      <c r="K679" s="68"/>
      <c r="L679" s="68"/>
      <c r="M679" s="68" t="s">
        <v>1631</v>
      </c>
      <c r="N679" s="68"/>
      <c r="O679" s="68" t="s">
        <v>103</v>
      </c>
      <c r="P679" s="68" t="s">
        <v>2183</v>
      </c>
      <c r="Q679" s="68" t="s">
        <v>89</v>
      </c>
      <c r="R679" s="68" t="s">
        <v>19</v>
      </c>
      <c r="S679" s="68" t="s">
        <v>2265</v>
      </c>
      <c r="T679" s="68" t="s">
        <v>60</v>
      </c>
      <c r="U679" s="68" t="s">
        <v>61</v>
      </c>
    </row>
    <row r="680" spans="1:21" ht="33.6" thickBot="1">
      <c r="A680" s="68" t="s">
        <v>2301</v>
      </c>
      <c r="B680" s="68" t="s">
        <v>2302</v>
      </c>
      <c r="C680" s="68" t="s">
        <v>2136</v>
      </c>
      <c r="D680" s="68" t="s">
        <v>2263</v>
      </c>
      <c r="E680" s="68" t="s">
        <v>21</v>
      </c>
      <c r="F680" s="68" t="s">
        <v>51</v>
      </c>
      <c r="G680" s="68" t="s">
        <v>2303</v>
      </c>
      <c r="H680" s="68"/>
      <c r="I680" s="68"/>
      <c r="J680" s="68"/>
      <c r="K680" s="68"/>
      <c r="L680" s="68"/>
      <c r="M680" s="68" t="s">
        <v>1636</v>
      </c>
      <c r="N680" s="68"/>
      <c r="O680" s="68" t="s">
        <v>93</v>
      </c>
      <c r="P680" s="68" t="s">
        <v>2037</v>
      </c>
      <c r="Q680" s="68" t="s">
        <v>82</v>
      </c>
      <c r="R680" s="68" t="s">
        <v>19</v>
      </c>
      <c r="S680" s="68" t="s">
        <v>2278</v>
      </c>
      <c r="T680" s="68" t="s">
        <v>60</v>
      </c>
      <c r="U680" s="68" t="s">
        <v>61</v>
      </c>
    </row>
    <row r="681" spans="1:21" ht="33.6" thickBot="1">
      <c r="A681" s="68" t="s">
        <v>2304</v>
      </c>
      <c r="B681" s="68" t="s">
        <v>2305</v>
      </c>
      <c r="C681" s="68" t="s">
        <v>2136</v>
      </c>
      <c r="D681" s="68" t="s">
        <v>2263</v>
      </c>
      <c r="E681" s="68" t="s">
        <v>21</v>
      </c>
      <c r="F681" s="68" t="s">
        <v>51</v>
      </c>
      <c r="G681" s="68" t="s">
        <v>2306</v>
      </c>
      <c r="H681" s="68"/>
      <c r="I681" s="68"/>
      <c r="J681" s="68"/>
      <c r="K681" s="68"/>
      <c r="L681" s="68"/>
      <c r="M681" s="68" t="s">
        <v>1863</v>
      </c>
      <c r="N681" s="68"/>
      <c r="O681" s="68" t="s">
        <v>87</v>
      </c>
      <c r="P681" s="68" t="s">
        <v>1999</v>
      </c>
      <c r="Q681" s="68" t="s">
        <v>89</v>
      </c>
      <c r="R681" s="68" t="s">
        <v>19</v>
      </c>
      <c r="S681" s="68" t="s">
        <v>2278</v>
      </c>
      <c r="T681" s="68" t="s">
        <v>60</v>
      </c>
      <c r="U681" s="68" t="s">
        <v>61</v>
      </c>
    </row>
    <row r="682" spans="1:21" ht="33.6" thickBot="1">
      <c r="A682" s="68" t="s">
        <v>2307</v>
      </c>
      <c r="B682" s="68" t="s">
        <v>2308</v>
      </c>
      <c r="C682" s="68" t="s">
        <v>2136</v>
      </c>
      <c r="D682" s="68" t="s">
        <v>2263</v>
      </c>
      <c r="E682" s="68" t="s">
        <v>21</v>
      </c>
      <c r="F682" s="68" t="s">
        <v>51</v>
      </c>
      <c r="G682" s="68" t="s">
        <v>2309</v>
      </c>
      <c r="H682" s="68"/>
      <c r="I682" s="68"/>
      <c r="J682" s="68"/>
      <c r="K682" s="68"/>
      <c r="L682" s="68"/>
      <c r="M682" s="68" t="s">
        <v>1715</v>
      </c>
      <c r="N682" s="68"/>
      <c r="O682" s="68" t="s">
        <v>103</v>
      </c>
      <c r="P682" s="68" t="s">
        <v>2310</v>
      </c>
      <c r="Q682" s="68" t="s">
        <v>82</v>
      </c>
      <c r="R682" s="68" t="s">
        <v>19</v>
      </c>
      <c r="S682" s="68" t="s">
        <v>2278</v>
      </c>
      <c r="T682" s="68" t="s">
        <v>60</v>
      </c>
      <c r="U682" s="68" t="s">
        <v>61</v>
      </c>
    </row>
    <row r="683" spans="1:21" ht="17.100000000000001" thickBot="1">
      <c r="A683" s="68" t="s">
        <v>2311</v>
      </c>
      <c r="B683" s="68" t="s">
        <v>2312</v>
      </c>
      <c r="C683" s="68" t="s">
        <v>2136</v>
      </c>
      <c r="D683" s="68" t="s">
        <v>2263</v>
      </c>
      <c r="E683" s="68" t="s">
        <v>21</v>
      </c>
      <c r="F683" s="68" t="s">
        <v>51</v>
      </c>
      <c r="G683" s="68" t="s">
        <v>640</v>
      </c>
      <c r="H683" s="68"/>
      <c r="I683" s="68"/>
      <c r="J683" s="68"/>
      <c r="K683" s="68"/>
      <c r="L683" s="68"/>
      <c r="M683" s="68" t="s">
        <v>1715</v>
      </c>
      <c r="N683" s="68"/>
      <c r="O683" s="68" t="s">
        <v>153</v>
      </c>
      <c r="P683" s="68" t="s">
        <v>2313</v>
      </c>
      <c r="Q683" s="68" t="s">
        <v>82</v>
      </c>
      <c r="R683" s="68" t="s">
        <v>19</v>
      </c>
      <c r="S683" s="68" t="s">
        <v>2289</v>
      </c>
      <c r="T683" s="68" t="s">
        <v>60</v>
      </c>
      <c r="U683" s="68" t="s">
        <v>61</v>
      </c>
    </row>
    <row r="684" spans="1:21" ht="33.6" thickBot="1">
      <c r="A684" s="68" t="s">
        <v>2314</v>
      </c>
      <c r="B684" s="68" t="s">
        <v>2315</v>
      </c>
      <c r="C684" s="68" t="s">
        <v>2136</v>
      </c>
      <c r="D684" s="68" t="s">
        <v>2263</v>
      </c>
      <c r="E684" s="68" t="s">
        <v>21</v>
      </c>
      <c r="F684" s="68" t="s">
        <v>51</v>
      </c>
      <c r="G684" s="68" t="s">
        <v>2201</v>
      </c>
      <c r="H684" s="68"/>
      <c r="I684" s="68"/>
      <c r="J684" s="68"/>
      <c r="K684" s="68"/>
      <c r="L684" s="68"/>
      <c r="M684" s="68" t="s">
        <v>1659</v>
      </c>
      <c r="N684" s="68"/>
      <c r="O684" s="68" t="s">
        <v>103</v>
      </c>
      <c r="P684" s="68" t="s">
        <v>2057</v>
      </c>
      <c r="Q684" s="68" t="s">
        <v>82</v>
      </c>
      <c r="R684" s="68" t="s">
        <v>19</v>
      </c>
      <c r="S684" s="68" t="s">
        <v>2265</v>
      </c>
      <c r="T684" s="68" t="s">
        <v>60</v>
      </c>
      <c r="U684" s="68" t="s">
        <v>61</v>
      </c>
    </row>
    <row r="685" spans="1:21" ht="33.6" thickBot="1">
      <c r="A685" s="68" t="s">
        <v>2316</v>
      </c>
      <c r="B685" s="68" t="s">
        <v>2317</v>
      </c>
      <c r="C685" s="68" t="s">
        <v>2136</v>
      </c>
      <c r="D685" s="68" t="s">
        <v>2263</v>
      </c>
      <c r="E685" s="68" t="s">
        <v>21</v>
      </c>
      <c r="F685" s="68" t="s">
        <v>51</v>
      </c>
      <c r="G685" s="68" t="s">
        <v>2204</v>
      </c>
      <c r="H685" s="68"/>
      <c r="I685" s="68"/>
      <c r="J685" s="68"/>
      <c r="K685" s="68"/>
      <c r="L685" s="68"/>
      <c r="M685" s="68" t="s">
        <v>2205</v>
      </c>
      <c r="N685" s="68"/>
      <c r="O685" s="68" t="s">
        <v>166</v>
      </c>
      <c r="P685" s="68" t="s">
        <v>2062</v>
      </c>
      <c r="Q685" s="68" t="s">
        <v>82</v>
      </c>
      <c r="R685" s="68" t="s">
        <v>21</v>
      </c>
      <c r="S685" s="68" t="s">
        <v>2282</v>
      </c>
      <c r="T685" s="68" t="s">
        <v>60</v>
      </c>
      <c r="U685" s="68" t="s">
        <v>61</v>
      </c>
    </row>
    <row r="686" spans="1:21" ht="33.6" thickBot="1">
      <c r="A686" s="68" t="s">
        <v>2318</v>
      </c>
      <c r="B686" s="68" t="s">
        <v>2319</v>
      </c>
      <c r="C686" s="68" t="s">
        <v>2136</v>
      </c>
      <c r="D686" s="68" t="s">
        <v>2263</v>
      </c>
      <c r="E686" s="68" t="s">
        <v>21</v>
      </c>
      <c r="F686" s="68" t="s">
        <v>51</v>
      </c>
      <c r="G686" s="68" t="s">
        <v>1668</v>
      </c>
      <c r="H686" s="68"/>
      <c r="I686" s="68"/>
      <c r="J686" s="68"/>
      <c r="K686" s="68"/>
      <c r="L686" s="68"/>
      <c r="M686" s="68" t="s">
        <v>1669</v>
      </c>
      <c r="N686" s="68"/>
      <c r="O686" s="68" t="s">
        <v>93</v>
      </c>
      <c r="P686" s="68" t="s">
        <v>1675</v>
      </c>
      <c r="Q686" s="68" t="s">
        <v>82</v>
      </c>
      <c r="R686" s="68" t="s">
        <v>19</v>
      </c>
      <c r="S686" s="68" t="s">
        <v>1558</v>
      </c>
      <c r="T686" s="68" t="s">
        <v>119</v>
      </c>
      <c r="U686" s="68" t="s">
        <v>61</v>
      </c>
    </row>
    <row r="687" spans="1:21" ht="33.6" thickBot="1">
      <c r="A687" s="68" t="s">
        <v>2320</v>
      </c>
      <c r="B687" s="68" t="s">
        <v>1672</v>
      </c>
      <c r="C687" s="68" t="s">
        <v>2136</v>
      </c>
      <c r="D687" s="68" t="s">
        <v>2263</v>
      </c>
      <c r="E687" s="68" t="s">
        <v>21</v>
      </c>
      <c r="F687" s="68" t="s">
        <v>51</v>
      </c>
      <c r="G687" s="68" t="s">
        <v>1884</v>
      </c>
      <c r="H687" s="68"/>
      <c r="I687" s="68"/>
      <c r="J687" s="68"/>
      <c r="K687" s="68"/>
      <c r="L687" s="68"/>
      <c r="M687" s="68" t="s">
        <v>1674</v>
      </c>
      <c r="N687" s="68"/>
      <c r="O687" s="68" t="s">
        <v>103</v>
      </c>
      <c r="P687" s="68" t="s">
        <v>1675</v>
      </c>
      <c r="Q687" s="68" t="s">
        <v>82</v>
      </c>
      <c r="R687" s="68" t="s">
        <v>19</v>
      </c>
      <c r="S687" s="68" t="s">
        <v>1558</v>
      </c>
      <c r="T687" s="68" t="s">
        <v>119</v>
      </c>
      <c r="U687" s="68" t="s">
        <v>61</v>
      </c>
    </row>
    <row r="688" spans="1:21" ht="33.6" thickBot="1">
      <c r="A688" s="68" t="s">
        <v>2321</v>
      </c>
      <c r="B688" s="68" t="s">
        <v>2322</v>
      </c>
      <c r="C688" s="68" t="s">
        <v>2136</v>
      </c>
      <c r="D688" s="68" t="s">
        <v>2263</v>
      </c>
      <c r="E688" s="68" t="s">
        <v>21</v>
      </c>
      <c r="F688" s="68" t="s">
        <v>51</v>
      </c>
      <c r="G688" s="68" t="s">
        <v>249</v>
      </c>
      <c r="H688" s="68"/>
      <c r="I688" s="68"/>
      <c r="J688" s="68"/>
      <c r="K688" s="68"/>
      <c r="L688" s="68"/>
      <c r="M688" s="68" t="s">
        <v>1636</v>
      </c>
      <c r="N688" s="68"/>
      <c r="O688" s="68" t="s">
        <v>103</v>
      </c>
      <c r="P688" s="68" t="s">
        <v>2323</v>
      </c>
      <c r="Q688" s="68" t="s">
        <v>82</v>
      </c>
      <c r="R688" s="68" t="s">
        <v>21</v>
      </c>
      <c r="S688" s="68" t="s">
        <v>2265</v>
      </c>
      <c r="T688" s="68" t="s">
        <v>119</v>
      </c>
      <c r="U688" s="68" t="s">
        <v>61</v>
      </c>
    </row>
    <row r="689" spans="1:21" ht="33.6" thickBot="1">
      <c r="A689" s="68" t="s">
        <v>2324</v>
      </c>
      <c r="B689" s="68" t="s">
        <v>2325</v>
      </c>
      <c r="C689" s="68" t="s">
        <v>2136</v>
      </c>
      <c r="D689" s="68" t="s">
        <v>2263</v>
      </c>
      <c r="E689" s="68" t="s">
        <v>21</v>
      </c>
      <c r="F689" s="68" t="s">
        <v>51</v>
      </c>
      <c r="G689" s="68" t="s">
        <v>1719</v>
      </c>
      <c r="H689" s="68"/>
      <c r="I689" s="68"/>
      <c r="J689" s="68"/>
      <c r="K689" s="68"/>
      <c r="L689" s="68"/>
      <c r="M689" s="68" t="s">
        <v>2213</v>
      </c>
      <c r="N689" s="68"/>
      <c r="O689" s="68" t="s">
        <v>113</v>
      </c>
      <c r="P689" s="68" t="s">
        <v>2074</v>
      </c>
      <c r="Q689" s="68" t="s">
        <v>82</v>
      </c>
      <c r="R689" s="68" t="s">
        <v>19</v>
      </c>
      <c r="S689" s="68" t="s">
        <v>1558</v>
      </c>
      <c r="T689" s="68" t="s">
        <v>119</v>
      </c>
      <c r="U689" s="68" t="s">
        <v>61</v>
      </c>
    </row>
    <row r="690" spans="1:21" ht="33.6" thickBot="1">
      <c r="A690" s="68" t="s">
        <v>2326</v>
      </c>
      <c r="B690" s="68" t="s">
        <v>2215</v>
      </c>
      <c r="C690" s="68" t="s">
        <v>2136</v>
      </c>
      <c r="D690" s="68" t="s">
        <v>2263</v>
      </c>
      <c r="E690" s="68" t="s">
        <v>21</v>
      </c>
      <c r="F690" s="68" t="s">
        <v>51</v>
      </c>
      <c r="G690" s="68" t="s">
        <v>139</v>
      </c>
      <c r="H690" s="68"/>
      <c r="I690" s="68"/>
      <c r="J690" s="68"/>
      <c r="K690" s="68"/>
      <c r="L690" s="68"/>
      <c r="M690" s="68" t="s">
        <v>1683</v>
      </c>
      <c r="N690" s="68"/>
      <c r="O690" s="68" t="s">
        <v>87</v>
      </c>
      <c r="P690" s="68" t="s">
        <v>2077</v>
      </c>
      <c r="Q690" s="68" t="s">
        <v>82</v>
      </c>
      <c r="R690" s="68" t="s">
        <v>19</v>
      </c>
      <c r="S690" s="68" t="s">
        <v>1558</v>
      </c>
      <c r="T690" s="68" t="s">
        <v>141</v>
      </c>
      <c r="U690" s="68" t="s">
        <v>61</v>
      </c>
    </row>
    <row r="691" spans="1:21" ht="33.6" thickBot="1">
      <c r="A691" s="68" t="s">
        <v>2327</v>
      </c>
      <c r="B691" s="68" t="s">
        <v>1686</v>
      </c>
      <c r="C691" s="68" t="s">
        <v>2136</v>
      </c>
      <c r="D691" s="68" t="s">
        <v>2263</v>
      </c>
      <c r="E691" s="68" t="s">
        <v>21</v>
      </c>
      <c r="F691" s="68" t="s">
        <v>51</v>
      </c>
      <c r="G691" s="68" t="s">
        <v>2079</v>
      </c>
      <c r="H691" s="68"/>
      <c r="I691" s="68"/>
      <c r="J691" s="68"/>
      <c r="K691" s="68"/>
      <c r="L691" s="68"/>
      <c r="M691" s="68" t="s">
        <v>1688</v>
      </c>
      <c r="N691" s="68"/>
      <c r="O691" s="68" t="s">
        <v>108</v>
      </c>
      <c r="P691" s="68" t="s">
        <v>1689</v>
      </c>
      <c r="Q691" s="68" t="s">
        <v>82</v>
      </c>
      <c r="R691" s="68" t="s">
        <v>19</v>
      </c>
      <c r="S691" s="68" t="s">
        <v>2269</v>
      </c>
      <c r="T691" s="68" t="s">
        <v>141</v>
      </c>
      <c r="U691" s="68" t="s">
        <v>61</v>
      </c>
    </row>
    <row r="692" spans="1:21" ht="33.6" thickBot="1">
      <c r="A692" s="68" t="s">
        <v>2328</v>
      </c>
      <c r="B692" s="68" t="s">
        <v>2329</v>
      </c>
      <c r="C692" s="68" t="s">
        <v>2136</v>
      </c>
      <c r="D692" s="68" t="s">
        <v>2263</v>
      </c>
      <c r="E692" s="68" t="s">
        <v>21</v>
      </c>
      <c r="F692" s="68" t="s">
        <v>51</v>
      </c>
      <c r="G692" s="68" t="s">
        <v>211</v>
      </c>
      <c r="H692" s="68"/>
      <c r="I692" s="68"/>
      <c r="J692" s="68"/>
      <c r="K692" s="68"/>
      <c r="L692" s="68"/>
      <c r="M692" s="68" t="s">
        <v>228</v>
      </c>
      <c r="N692" s="68"/>
      <c r="O692" s="68" t="s">
        <v>98</v>
      </c>
      <c r="P692" s="68" t="s">
        <v>2330</v>
      </c>
      <c r="Q692" s="68" t="s">
        <v>82</v>
      </c>
      <c r="R692" s="68" t="s">
        <v>19</v>
      </c>
      <c r="S692" s="68" t="s">
        <v>2301</v>
      </c>
      <c r="T692" s="68" t="s">
        <v>141</v>
      </c>
      <c r="U692" s="68" t="s">
        <v>61</v>
      </c>
    </row>
    <row r="693" spans="1:21" ht="33.6" thickBot="1">
      <c r="A693" s="68" t="s">
        <v>2331</v>
      </c>
      <c r="B693" s="68" t="s">
        <v>2332</v>
      </c>
      <c r="C693" s="68" t="s">
        <v>2136</v>
      </c>
      <c r="D693" s="68" t="s">
        <v>2263</v>
      </c>
      <c r="E693" s="68" t="s">
        <v>21</v>
      </c>
      <c r="F693" s="68" t="s">
        <v>51</v>
      </c>
      <c r="G693" s="68" t="s">
        <v>1696</v>
      </c>
      <c r="H693" s="68"/>
      <c r="I693" s="68"/>
      <c r="J693" s="68"/>
      <c r="K693" s="68"/>
      <c r="L693" s="68"/>
      <c r="M693" s="68" t="s">
        <v>1616</v>
      </c>
      <c r="N693" s="68"/>
      <c r="O693" s="68" t="s">
        <v>232</v>
      </c>
      <c r="P693" s="68" t="s">
        <v>2333</v>
      </c>
      <c r="Q693" s="68" t="s">
        <v>82</v>
      </c>
      <c r="R693" s="68" t="s">
        <v>19</v>
      </c>
      <c r="S693" s="68" t="s">
        <v>2265</v>
      </c>
      <c r="T693" s="68" t="s">
        <v>141</v>
      </c>
      <c r="U693" s="68" t="s">
        <v>61</v>
      </c>
    </row>
    <row r="694" spans="1:21" ht="33.6" thickBot="1">
      <c r="A694" s="68" t="s">
        <v>2334</v>
      </c>
      <c r="B694" s="68" t="s">
        <v>1903</v>
      </c>
      <c r="C694" s="68" t="s">
        <v>2136</v>
      </c>
      <c r="D694" s="68" t="s">
        <v>2263</v>
      </c>
      <c r="E694" s="68" t="s">
        <v>21</v>
      </c>
      <c r="F694" s="68" t="s">
        <v>51</v>
      </c>
      <c r="G694" s="68" t="s">
        <v>459</v>
      </c>
      <c r="H694" s="68"/>
      <c r="I694" s="68"/>
      <c r="J694" s="68"/>
      <c r="K694" s="68"/>
      <c r="L694" s="68"/>
      <c r="M694" s="68" t="s">
        <v>1701</v>
      </c>
      <c r="N694" s="68"/>
      <c r="O694" s="68" t="s">
        <v>166</v>
      </c>
      <c r="P694" s="68" t="s">
        <v>1904</v>
      </c>
      <c r="Q694" s="68" t="s">
        <v>82</v>
      </c>
      <c r="R694" s="68" t="s">
        <v>21</v>
      </c>
      <c r="S694" s="68" t="s">
        <v>2265</v>
      </c>
      <c r="T694" s="68" t="s">
        <v>60</v>
      </c>
      <c r="U694" s="68" t="s">
        <v>61</v>
      </c>
    </row>
    <row r="695" spans="1:21" ht="33.6" thickBot="1">
      <c r="A695" s="68" t="s">
        <v>2335</v>
      </c>
      <c r="B695" s="68" t="s">
        <v>2091</v>
      </c>
      <c r="C695" s="68" t="s">
        <v>2136</v>
      </c>
      <c r="D695" s="68" t="s">
        <v>2263</v>
      </c>
      <c r="E695" s="68" t="s">
        <v>21</v>
      </c>
      <c r="F695" s="68" t="s">
        <v>51</v>
      </c>
      <c r="G695" s="68" t="s">
        <v>1875</v>
      </c>
      <c r="H695" s="68"/>
      <c r="I695" s="68"/>
      <c r="J695" s="68"/>
      <c r="K695" s="68"/>
      <c r="L695" s="68"/>
      <c r="M695" s="68" t="s">
        <v>1706</v>
      </c>
      <c r="N695" s="68"/>
      <c r="O695" s="68" t="s">
        <v>166</v>
      </c>
      <c r="P695" s="68" t="s">
        <v>1707</v>
      </c>
      <c r="Q695" s="68" t="s">
        <v>82</v>
      </c>
      <c r="R695" s="68" t="s">
        <v>21</v>
      </c>
      <c r="S695" s="68" t="s">
        <v>2314</v>
      </c>
      <c r="T695" s="68" t="s">
        <v>60</v>
      </c>
      <c r="U695" s="68" t="s">
        <v>61</v>
      </c>
    </row>
    <row r="696" spans="1:21" ht="17.100000000000001" thickBot="1">
      <c r="A696" s="68" t="s">
        <v>2336</v>
      </c>
      <c r="B696" s="68" t="s">
        <v>2337</v>
      </c>
      <c r="C696" s="68" t="s">
        <v>2136</v>
      </c>
      <c r="D696" s="68" t="s">
        <v>2263</v>
      </c>
      <c r="E696" s="68" t="s">
        <v>21</v>
      </c>
      <c r="F696" s="68" t="s">
        <v>51</v>
      </c>
      <c r="G696" s="68" t="s">
        <v>2094</v>
      </c>
      <c r="H696" s="68"/>
      <c r="I696" s="68"/>
      <c r="J696" s="68"/>
      <c r="K696" s="68"/>
      <c r="L696" s="68"/>
      <c r="M696" s="68" t="s">
        <v>1715</v>
      </c>
      <c r="N696" s="68"/>
      <c r="O696" s="68" t="s">
        <v>153</v>
      </c>
      <c r="P696" s="68" t="s">
        <v>1725</v>
      </c>
      <c r="Q696" s="68" t="s">
        <v>82</v>
      </c>
      <c r="R696" s="68" t="s">
        <v>19</v>
      </c>
      <c r="S696" s="68" t="s">
        <v>2278</v>
      </c>
      <c r="T696" s="68" t="s">
        <v>119</v>
      </c>
      <c r="U696" s="68" t="s">
        <v>61</v>
      </c>
    </row>
    <row r="697" spans="1:21" ht="33.6" thickBot="1">
      <c r="A697" s="68" t="s">
        <v>2338</v>
      </c>
      <c r="B697" s="68" t="s">
        <v>2339</v>
      </c>
      <c r="C697" s="68" t="s">
        <v>2136</v>
      </c>
      <c r="D697" s="68" t="s">
        <v>2263</v>
      </c>
      <c r="E697" s="68" t="s">
        <v>21</v>
      </c>
      <c r="F697" s="68" t="s">
        <v>51</v>
      </c>
      <c r="G697" s="68" t="s">
        <v>2098</v>
      </c>
      <c r="H697" s="68"/>
      <c r="I697" s="68"/>
      <c r="J697" s="68"/>
      <c r="K697" s="68"/>
      <c r="L697" s="68"/>
      <c r="M697" s="68" t="s">
        <v>1715</v>
      </c>
      <c r="N697" s="68"/>
      <c r="O697" s="68" t="s">
        <v>113</v>
      </c>
      <c r="P697" s="68" t="s">
        <v>2099</v>
      </c>
      <c r="Q697" s="68" t="s">
        <v>82</v>
      </c>
      <c r="R697" s="68" t="s">
        <v>19</v>
      </c>
      <c r="S697" s="68" t="s">
        <v>2285</v>
      </c>
      <c r="T697" s="68" t="s">
        <v>119</v>
      </c>
      <c r="U697" s="68" t="s">
        <v>61</v>
      </c>
    </row>
    <row r="698" spans="1:21" ht="33.6" thickBot="1">
      <c r="A698" s="68" t="s">
        <v>2340</v>
      </c>
      <c r="B698" s="68" t="s">
        <v>2341</v>
      </c>
      <c r="C698" s="68" t="s">
        <v>2136</v>
      </c>
      <c r="D698" s="68" t="s">
        <v>2263</v>
      </c>
      <c r="E698" s="68" t="s">
        <v>21</v>
      </c>
      <c r="F698" s="68" t="s">
        <v>51</v>
      </c>
      <c r="G698" s="68" t="s">
        <v>1719</v>
      </c>
      <c r="H698" s="68"/>
      <c r="I698" s="68"/>
      <c r="J698" s="68"/>
      <c r="K698" s="68"/>
      <c r="L698" s="68"/>
      <c r="M698" s="68" t="s">
        <v>1747</v>
      </c>
      <c r="N698" s="68"/>
      <c r="O698" s="68" t="s">
        <v>103</v>
      </c>
      <c r="P698" s="68" t="s">
        <v>2313</v>
      </c>
      <c r="Q698" s="68" t="s">
        <v>82</v>
      </c>
      <c r="R698" s="68" t="s">
        <v>19</v>
      </c>
      <c r="S698" s="68" t="s">
        <v>2278</v>
      </c>
      <c r="T698" s="68" t="s">
        <v>119</v>
      </c>
      <c r="U698" s="68" t="s">
        <v>61</v>
      </c>
    </row>
    <row r="699" spans="1:21" ht="33.6" thickBot="1">
      <c r="A699" s="68" t="s">
        <v>2342</v>
      </c>
      <c r="B699" s="68" t="s">
        <v>2343</v>
      </c>
      <c r="C699" s="68" t="s">
        <v>2136</v>
      </c>
      <c r="D699" s="68" t="s">
        <v>2263</v>
      </c>
      <c r="E699" s="68" t="s">
        <v>21</v>
      </c>
      <c r="F699" s="68" t="s">
        <v>51</v>
      </c>
      <c r="G699" s="68" t="s">
        <v>2344</v>
      </c>
      <c r="H699" s="68"/>
      <c r="I699" s="68"/>
      <c r="J699" s="68"/>
      <c r="K699" s="68"/>
      <c r="L699" s="68"/>
      <c r="M699" s="68" t="s">
        <v>2345</v>
      </c>
      <c r="N699" s="68"/>
      <c r="O699" s="68" t="s">
        <v>103</v>
      </c>
      <c r="P699" s="68" t="s">
        <v>2346</v>
      </c>
      <c r="Q699" s="68" t="s">
        <v>82</v>
      </c>
      <c r="R699" s="68" t="s">
        <v>19</v>
      </c>
      <c r="S699" s="68" t="s">
        <v>2265</v>
      </c>
      <c r="T699" s="68" t="s">
        <v>60</v>
      </c>
      <c r="U699" s="68" t="s">
        <v>61</v>
      </c>
    </row>
    <row r="700" spans="1:21" ht="33.6" thickBot="1">
      <c r="A700" s="68" t="s">
        <v>2347</v>
      </c>
      <c r="B700" s="68" t="s">
        <v>2236</v>
      </c>
      <c r="C700" s="68" t="s">
        <v>2136</v>
      </c>
      <c r="D700" s="68" t="s">
        <v>2263</v>
      </c>
      <c r="E700" s="68" t="s">
        <v>21</v>
      </c>
      <c r="F700" s="68" t="s">
        <v>51</v>
      </c>
      <c r="G700" s="68" t="s">
        <v>1924</v>
      </c>
      <c r="H700" s="68"/>
      <c r="I700" s="68"/>
      <c r="J700" s="68"/>
      <c r="K700" s="68"/>
      <c r="L700" s="68"/>
      <c r="M700" s="68" t="s">
        <v>2237</v>
      </c>
      <c r="N700" s="68"/>
      <c r="O700" s="68" t="s">
        <v>57</v>
      </c>
      <c r="P700" s="68" t="s">
        <v>2348</v>
      </c>
      <c r="Q700" s="68" t="s">
        <v>89</v>
      </c>
      <c r="R700" s="68" t="s">
        <v>21</v>
      </c>
      <c r="S700" s="68" t="s">
        <v>2265</v>
      </c>
      <c r="T700" s="68" t="s">
        <v>60</v>
      </c>
      <c r="U700" s="68" t="s">
        <v>61</v>
      </c>
    </row>
    <row r="701" spans="1:21" ht="33.6" thickBot="1">
      <c r="A701" s="68" t="s">
        <v>2349</v>
      </c>
      <c r="B701" s="68" t="s">
        <v>2350</v>
      </c>
      <c r="C701" s="68" t="s">
        <v>2136</v>
      </c>
      <c r="D701" s="68" t="s">
        <v>2263</v>
      </c>
      <c r="E701" s="68" t="s">
        <v>21</v>
      </c>
      <c r="F701" s="68" t="s">
        <v>51</v>
      </c>
      <c r="G701" s="68" t="s">
        <v>1929</v>
      </c>
      <c r="H701" s="68"/>
      <c r="I701" s="68"/>
      <c r="J701" s="68"/>
      <c r="K701" s="68"/>
      <c r="L701" s="68"/>
      <c r="M701" s="68" t="s">
        <v>228</v>
      </c>
      <c r="N701" s="68"/>
      <c r="O701" s="68" t="s">
        <v>93</v>
      </c>
      <c r="P701" s="68" t="s">
        <v>1808</v>
      </c>
      <c r="Q701" s="68" t="s">
        <v>82</v>
      </c>
      <c r="R701" s="68" t="s">
        <v>19</v>
      </c>
      <c r="S701" s="68" t="s">
        <v>2265</v>
      </c>
      <c r="T701" s="68" t="s">
        <v>141</v>
      </c>
      <c r="U701" s="68" t="s">
        <v>61</v>
      </c>
    </row>
    <row r="702" spans="1:21" ht="33.6" thickBot="1">
      <c r="A702" s="68" t="s">
        <v>2351</v>
      </c>
      <c r="B702" s="68" t="s">
        <v>1931</v>
      </c>
      <c r="C702" s="68" t="s">
        <v>2136</v>
      </c>
      <c r="D702" s="68" t="s">
        <v>2263</v>
      </c>
      <c r="E702" s="68" t="s">
        <v>21</v>
      </c>
      <c r="F702" s="68" t="s">
        <v>51</v>
      </c>
      <c r="G702" s="68" t="s">
        <v>1932</v>
      </c>
      <c r="H702" s="68"/>
      <c r="I702" s="68"/>
      <c r="J702" s="68"/>
      <c r="K702" s="68"/>
      <c r="L702" s="68"/>
      <c r="M702" s="68" t="s">
        <v>1736</v>
      </c>
      <c r="N702" s="68"/>
      <c r="O702" s="68" t="s">
        <v>166</v>
      </c>
      <c r="P702" s="68" t="s">
        <v>1737</v>
      </c>
      <c r="Q702" s="68" t="s">
        <v>82</v>
      </c>
      <c r="R702" s="68" t="s">
        <v>19</v>
      </c>
      <c r="S702" s="68" t="s">
        <v>1558</v>
      </c>
      <c r="T702" s="68" t="s">
        <v>1738</v>
      </c>
      <c r="U702" s="68" t="s">
        <v>61</v>
      </c>
    </row>
    <row r="703" spans="1:21" ht="33.6" thickBot="1">
      <c r="A703" s="68" t="s">
        <v>2352</v>
      </c>
      <c r="B703" s="68" t="s">
        <v>2353</v>
      </c>
      <c r="C703" s="68" t="s">
        <v>2136</v>
      </c>
      <c r="D703" s="68" t="s">
        <v>2263</v>
      </c>
      <c r="E703" s="68" t="s">
        <v>21</v>
      </c>
      <c r="F703" s="68" t="s">
        <v>51</v>
      </c>
      <c r="G703" s="68" t="s">
        <v>2113</v>
      </c>
      <c r="H703" s="68"/>
      <c r="I703" s="68"/>
      <c r="J703" s="68"/>
      <c r="K703" s="68"/>
      <c r="L703" s="68"/>
      <c r="M703" s="68" t="s">
        <v>1936</v>
      </c>
      <c r="N703" s="68"/>
      <c r="O703" s="68" t="s">
        <v>103</v>
      </c>
      <c r="P703" s="68" t="s">
        <v>1833</v>
      </c>
      <c r="Q703" s="68" t="s">
        <v>82</v>
      </c>
      <c r="R703" s="68" t="s">
        <v>19</v>
      </c>
      <c r="S703" s="68" t="s">
        <v>2265</v>
      </c>
      <c r="T703" s="68" t="s">
        <v>60</v>
      </c>
      <c r="U703" s="68" t="s">
        <v>61</v>
      </c>
    </row>
    <row r="704" spans="1:21" ht="33.6" thickBot="1">
      <c r="A704" s="68" t="s">
        <v>2354</v>
      </c>
      <c r="B704" s="68" t="s">
        <v>2355</v>
      </c>
      <c r="C704" s="68" t="s">
        <v>2136</v>
      </c>
      <c r="D704" s="68" t="s">
        <v>2263</v>
      </c>
      <c r="E704" s="68" t="s">
        <v>21</v>
      </c>
      <c r="F704" s="68" t="s">
        <v>51</v>
      </c>
      <c r="G704" s="68" t="s">
        <v>2116</v>
      </c>
      <c r="H704" s="68"/>
      <c r="I704" s="68"/>
      <c r="J704" s="68"/>
      <c r="K704" s="68"/>
      <c r="L704" s="68"/>
      <c r="M704" s="68" t="s">
        <v>1936</v>
      </c>
      <c r="N704" s="68"/>
      <c r="O704" s="68" t="s">
        <v>113</v>
      </c>
      <c r="P704" s="68" t="s">
        <v>2356</v>
      </c>
      <c r="Q704" s="68" t="s">
        <v>82</v>
      </c>
      <c r="R704" s="68" t="s">
        <v>19</v>
      </c>
      <c r="S704" s="68" t="s">
        <v>2285</v>
      </c>
      <c r="T704" s="68" t="s">
        <v>83</v>
      </c>
      <c r="U704" s="68" t="s">
        <v>61</v>
      </c>
    </row>
    <row r="705" spans="1:21" ht="33.6" thickBot="1">
      <c r="A705" s="68" t="s">
        <v>2357</v>
      </c>
      <c r="B705" s="68" t="s">
        <v>2358</v>
      </c>
      <c r="C705" s="68" t="s">
        <v>2136</v>
      </c>
      <c r="D705" s="68" t="s">
        <v>2263</v>
      </c>
      <c r="E705" s="68" t="s">
        <v>21</v>
      </c>
      <c r="F705" s="68" t="s">
        <v>51</v>
      </c>
      <c r="G705" s="68" t="s">
        <v>1942</v>
      </c>
      <c r="H705" s="68"/>
      <c r="I705" s="68"/>
      <c r="J705" s="68"/>
      <c r="K705" s="68"/>
      <c r="L705" s="68"/>
      <c r="M705" s="68" t="s">
        <v>1752</v>
      </c>
      <c r="N705" s="68"/>
      <c r="O705" s="68" t="s">
        <v>113</v>
      </c>
      <c r="P705" s="68" t="s">
        <v>2120</v>
      </c>
      <c r="Q705" s="68" t="s">
        <v>82</v>
      </c>
      <c r="R705" s="68" t="s">
        <v>21</v>
      </c>
      <c r="S705" s="68" t="s">
        <v>2314</v>
      </c>
      <c r="T705" s="68" t="s">
        <v>60</v>
      </c>
      <c r="U705" s="68" t="s">
        <v>61</v>
      </c>
    </row>
    <row r="706" spans="1:21" ht="33.6" thickBot="1">
      <c r="A706" s="68" t="s">
        <v>2359</v>
      </c>
      <c r="B706" s="68" t="s">
        <v>2360</v>
      </c>
      <c r="C706" s="68" t="s">
        <v>2136</v>
      </c>
      <c r="D706" s="68" t="s">
        <v>2263</v>
      </c>
      <c r="E706" s="68" t="s">
        <v>21</v>
      </c>
      <c r="F706" s="68" t="s">
        <v>51</v>
      </c>
      <c r="G706" s="68" t="s">
        <v>2361</v>
      </c>
      <c r="H706" s="68"/>
      <c r="I706" s="68"/>
      <c r="J706" s="68"/>
      <c r="K706" s="68"/>
      <c r="L706" s="68"/>
      <c r="M706" s="68" t="s">
        <v>1757</v>
      </c>
      <c r="N706" s="68"/>
      <c r="O706" s="68" t="s">
        <v>103</v>
      </c>
      <c r="P706" s="68" t="s">
        <v>2362</v>
      </c>
      <c r="Q706" s="68" t="s">
        <v>82</v>
      </c>
      <c r="R706" s="68" t="s">
        <v>21</v>
      </c>
      <c r="S706" s="68" t="s">
        <v>2265</v>
      </c>
      <c r="T706" s="68" t="s">
        <v>60</v>
      </c>
      <c r="U706" s="68" t="s">
        <v>61</v>
      </c>
    </row>
    <row r="707" spans="1:21" ht="33.6" thickBot="1">
      <c r="A707" s="68" t="s">
        <v>2363</v>
      </c>
      <c r="B707" s="68" t="s">
        <v>1948</v>
      </c>
      <c r="C707" s="68" t="s">
        <v>2136</v>
      </c>
      <c r="D707" s="68" t="s">
        <v>2263</v>
      </c>
      <c r="E707" s="68" t="s">
        <v>21</v>
      </c>
      <c r="F707" s="68" t="s">
        <v>51</v>
      </c>
      <c r="G707" s="68" t="s">
        <v>2126</v>
      </c>
      <c r="H707" s="68"/>
      <c r="I707" s="68"/>
      <c r="J707" s="68"/>
      <c r="K707" s="68"/>
      <c r="L707" s="68"/>
      <c r="M707" s="68" t="s">
        <v>1762</v>
      </c>
      <c r="N707" s="68"/>
      <c r="O707" s="68" t="s">
        <v>166</v>
      </c>
      <c r="P707" s="68" t="s">
        <v>1950</v>
      </c>
      <c r="Q707" s="68" t="s">
        <v>82</v>
      </c>
      <c r="R707" s="68" t="s">
        <v>21</v>
      </c>
      <c r="S707" s="68" t="s">
        <v>2275</v>
      </c>
      <c r="T707" s="68" t="s">
        <v>119</v>
      </c>
      <c r="U707" s="68" t="s">
        <v>61</v>
      </c>
    </row>
    <row r="708" spans="1:21" ht="17.100000000000001" thickBot="1">
      <c r="A708" s="68" t="s">
        <v>2364</v>
      </c>
      <c r="B708" s="68" t="s">
        <v>2365</v>
      </c>
      <c r="C708" s="68" t="s">
        <v>2136</v>
      </c>
      <c r="D708" s="68" t="s">
        <v>2263</v>
      </c>
      <c r="E708" s="68" t="s">
        <v>21</v>
      </c>
      <c r="F708" s="68" t="s">
        <v>51</v>
      </c>
      <c r="G708" s="68" t="s">
        <v>236</v>
      </c>
      <c r="H708" s="68"/>
      <c r="I708" s="68"/>
      <c r="J708" s="68"/>
      <c r="K708" s="68"/>
      <c r="L708" s="68"/>
      <c r="M708" s="68" t="s">
        <v>228</v>
      </c>
      <c r="N708" s="68"/>
      <c r="O708" s="68" t="s">
        <v>232</v>
      </c>
      <c r="P708" s="68" t="s">
        <v>1953</v>
      </c>
      <c r="Q708" s="68" t="s">
        <v>82</v>
      </c>
      <c r="R708" s="68" t="s">
        <v>21</v>
      </c>
      <c r="S708" s="68" t="s">
        <v>2304</v>
      </c>
      <c r="T708" s="68" t="s">
        <v>141</v>
      </c>
      <c r="U708" s="68" t="s">
        <v>61</v>
      </c>
    </row>
    <row r="709" spans="1:21" ht="17.100000000000001" thickBot="1">
      <c r="A709" s="68" t="s">
        <v>2366</v>
      </c>
      <c r="B709" s="68" t="s">
        <v>2367</v>
      </c>
      <c r="C709" s="68" t="s">
        <v>2136</v>
      </c>
      <c r="D709" s="68" t="s">
        <v>2263</v>
      </c>
      <c r="E709" s="68" t="s">
        <v>21</v>
      </c>
      <c r="F709" s="68" t="s">
        <v>51</v>
      </c>
      <c r="G709" s="68" t="s">
        <v>1956</v>
      </c>
      <c r="H709" s="68"/>
      <c r="I709" s="68"/>
      <c r="J709" s="68"/>
      <c r="K709" s="68"/>
      <c r="L709" s="68"/>
      <c r="M709" s="68" t="s">
        <v>1771</v>
      </c>
      <c r="N709" s="68"/>
      <c r="O709" s="68" t="s">
        <v>153</v>
      </c>
      <c r="P709" s="68" t="s">
        <v>1772</v>
      </c>
      <c r="Q709" s="68" t="s">
        <v>82</v>
      </c>
      <c r="R709" s="68" t="s">
        <v>19</v>
      </c>
      <c r="S709" s="68" t="s">
        <v>2285</v>
      </c>
      <c r="T709" s="68" t="s">
        <v>60</v>
      </c>
      <c r="U709" s="68" t="s">
        <v>61</v>
      </c>
    </row>
    <row r="710" spans="1:21" ht="33.6" thickBot="1">
      <c r="A710" s="68" t="s">
        <v>2368</v>
      </c>
      <c r="B710" s="68" t="s">
        <v>1958</v>
      </c>
      <c r="C710" s="68" t="s">
        <v>2136</v>
      </c>
      <c r="D710" s="68" t="s">
        <v>2263</v>
      </c>
      <c r="E710" s="68" t="s">
        <v>21</v>
      </c>
      <c r="F710" s="68" t="s">
        <v>51</v>
      </c>
      <c r="G710" s="68" t="s">
        <v>1696</v>
      </c>
      <c r="H710" s="68"/>
      <c r="I710" s="68"/>
      <c r="J710" s="68"/>
      <c r="K710" s="68"/>
      <c r="L710" s="68"/>
      <c r="M710" s="68" t="s">
        <v>1775</v>
      </c>
      <c r="N710" s="68"/>
      <c r="O710" s="68" t="s">
        <v>108</v>
      </c>
      <c r="P710" s="68" t="s">
        <v>2369</v>
      </c>
      <c r="Q710" s="68" t="s">
        <v>82</v>
      </c>
      <c r="R710" s="68" t="s">
        <v>19</v>
      </c>
      <c r="S710" s="68" t="s">
        <v>2269</v>
      </c>
      <c r="T710" s="68" t="s">
        <v>141</v>
      </c>
      <c r="U710" s="68" t="s">
        <v>61</v>
      </c>
    </row>
  </sheetData>
  <autoFilter ref="A2:U710" xr:uid="{00000000-0001-0000-0100-000000000000}"/>
  <mergeCells count="1">
    <mergeCell ref="A1:U1"/>
  </mergeCells>
  <phoneticPr fontId="47" type="noConversion"/>
  <conditionalFormatting sqref="E3:E566">
    <cfRule type="cellIs" dxfId="14" priority="23" operator="equal">
      <formula>"Media"</formula>
    </cfRule>
    <cfRule type="cellIs" dxfId="13" priority="24" operator="equal">
      <formula>"Baja"</formula>
    </cfRule>
    <cfRule type="cellIs" dxfId="12" priority="25" operator="equal">
      <formula>"Critico"</formula>
    </cfRule>
    <cfRule type="cellIs" dxfId="11" priority="26" operator="equal">
      <formula>"Alto"</formula>
    </cfRule>
  </conditionalFormatting>
  <conditionalFormatting sqref="F3:F566">
    <cfRule type="cellIs" dxfId="10" priority="14" operator="equal">
      <formula>"Bloqueado"</formula>
    </cfRule>
    <cfRule type="cellIs" dxfId="9" priority="15" operator="equal">
      <formula>"Pendiente"</formula>
    </cfRule>
    <cfRule type="cellIs" dxfId="8" priority="16" operator="equal">
      <formula>"Falló"</formula>
    </cfRule>
    <cfRule type="cellIs" dxfId="7" priority="17" operator="equal">
      <formula>"En Progreso"</formula>
    </cfRule>
    <cfRule type="cellIs" dxfId="6" priority="18" operator="equal">
      <formula>"Pasó"</formula>
    </cfRule>
  </conditionalFormatting>
  <dataValidations count="3">
    <dataValidation type="list" allowBlank="1" showInputMessage="1" showErrorMessage="1" sqref="Q3:Q7 Q55 Q105 Q154 Q369 Q470 Q519" xr:uid="{D844FBBE-BDC6-4CEA-A4C7-0EE9EDE8F08C}">
      <formula1>Impacto</formula1>
    </dataValidation>
    <dataValidation type="list" allowBlank="1" showInputMessage="1" showErrorMessage="1" sqref="R3:R7 R55 R105 R154 R369 R470 R519" xr:uid="{7E46D5E8-42B8-4368-9AE4-153EA411C5E0}">
      <formula1>Probabilidad</formula1>
    </dataValidation>
    <dataValidation type="list" allowBlank="1" showInputMessage="1" showErrorMessage="1" sqref="D3:D367" xr:uid="{A94A32FB-5E12-4505-96A3-94DCEA43A231}">
      <formula1>INDIRECT(C3)</formula1>
    </dataValidation>
  </dataValidations>
  <hyperlinks>
    <hyperlink ref="I235" r:id="rId1" xr:uid="{DF53C40C-8205-482D-8398-53B3422E920D}"/>
    <hyperlink ref="I266" r:id="rId2" xr:uid="{286D821C-80DF-40BE-901A-7EDDC4ED99D3}"/>
  </hyperlinks>
  <pageMargins left="0.75" right="0.75" top="1" bottom="1" header="0.5" footer="0.5"/>
  <pageSetup orientation="portrait" r:id="rId3"/>
  <legacyDrawing r:id="rId4"/>
  <extLst>
    <ext xmlns:x14="http://schemas.microsoft.com/office/spreadsheetml/2009/9/main" uri="{CCE6A557-97BC-4b89-ADB6-D9C93CAAB3DF}">
      <x14:dataValidations xmlns:xm="http://schemas.microsoft.com/office/excel/2006/main" count="24">
        <x14:dataValidation type="list" allowBlank="1" showInputMessage="1" showErrorMessage="1" xr:uid="{C55EB40D-3815-4297-9E6F-573B27888E43}">
          <x14:formula1>
            <xm:f>CatModulo!$G$1:$G$6</xm:f>
          </x14:formula1>
          <xm:sqref>L2</xm:sqref>
        </x14:dataValidation>
        <x14:dataValidation type="list" allowBlank="1" showInputMessage="1" showErrorMessage="1" xr:uid="{DA56F358-E84C-4DCE-8157-F29556B12868}">
          <x14:formula1>
            <xm:f>CatModulo!$I$2:$I$4</xm:f>
          </x14:formula1>
          <xm:sqref>K3:K4 K104:K614</xm:sqref>
        </x14:dataValidation>
        <x14:dataValidation type="list" allowBlank="1" showInputMessage="1" showErrorMessage="1" xr:uid="{52689380-B52D-442B-9669-27BDD3FD0B90}">
          <x14:formula1>
            <xm:f>CatModulo!$D$2:$D$6</xm:f>
          </x14:formula1>
          <xm:sqref>D368:D468</xm:sqref>
        </x14:dataValidation>
        <x14:dataValidation type="list" allowBlank="1" showInputMessage="1" showErrorMessage="1" xr:uid="{216288F0-2744-480E-B2DD-52A1DFFFB2E6}">
          <x14:formula1>
            <xm:f>CatModulo!$I$2:$I$3</xm:f>
          </x14:formula1>
          <xm:sqref>K5:K103</xm:sqref>
        </x14:dataValidation>
        <x14:dataValidation type="list" allowBlank="1" showInputMessage="1" showErrorMessage="1" xr:uid="{FF7E9FE6-2B77-4B2D-90ED-A197181CBB41}">
          <x14:formula1>
            <xm:f>CatModulo!$L$2:$L$5</xm:f>
          </x14:formula1>
          <xm:sqref>U519 U470 U3:U468</xm:sqref>
        </x14:dataValidation>
        <x14:dataValidation type="list" allowBlank="1" showInputMessage="1" showErrorMessage="1" xr:uid="{C9A98C1A-FF95-47C9-BA89-4882DE000D95}">
          <x14:formula1>
            <xm:f>CatModulo!$G$2:$G$6</xm:f>
          </x14:formula1>
          <xm:sqref>L3:L614</xm:sqref>
        </x14:dataValidation>
        <x14:dataValidation type="list" allowBlank="1" showInputMessage="1" showErrorMessage="1" xr:uid="{A134E239-8F65-4EDB-A9C5-9C546077CCE6}">
          <x14:formula1>
            <xm:f>CatModulo!$H$2:$H$6</xm:f>
          </x14:formula1>
          <xm:sqref>J3:J614</xm:sqref>
        </x14:dataValidation>
        <x14:dataValidation type="list" allowBlank="1" showInputMessage="1" showErrorMessage="1" xr:uid="{F881C059-4AB2-40BE-9388-3C8336F83164}">
          <x14:formula1>
            <xm:f>CatModulo!$E$2:$E$5</xm:f>
          </x14:formula1>
          <xm:sqref>E3:E566</xm:sqref>
        </x14:dataValidation>
        <x14:dataValidation type="list" allowBlank="1" showInputMessage="1" showErrorMessage="1" xr:uid="{E49DC938-269B-44AF-ABD2-9246E4EAE14D}">
          <x14:formula1>
            <xm:f>CatModulo!$F$2:$F$6</xm:f>
          </x14:formula1>
          <xm:sqref>F3:F566</xm:sqref>
        </x14:dataValidation>
        <x14:dataValidation type="list" allowBlank="1" showInputMessage="1" showErrorMessage="1" xr:uid="{6F90206E-A769-497B-BEF3-D4257267BBFE}">
          <x14:formula1>
            <xm:f>CatModulo!A381:A383</xm:f>
          </x14:formula1>
          <xm:sqref>C369 C470 C519</xm:sqref>
        </x14:dataValidation>
        <x14:dataValidation type="list" allowBlank="1" showInputMessage="1" showErrorMessage="1" xr:uid="{498319FD-3C7D-4E0C-996F-DEC11B7A90A9}">
          <x14:formula1>
            <xm:f>CatModulo!A376:A378</xm:f>
          </x14:formula1>
          <xm:sqref>C370:C469</xm:sqref>
        </x14:dataValidation>
        <x14:dataValidation type="list" allowBlank="1" showInputMessage="1" showErrorMessage="1" xr:uid="{7AB801F9-1397-4C1F-A77F-6240C4BABBC2}">
          <x14:formula1>
            <xm:f>CatModulo!A476:A478</xm:f>
          </x14:formula1>
          <xm:sqref>C471:C518</xm:sqref>
        </x14:dataValidation>
        <x14:dataValidation type="list" allowBlank="1" showInputMessage="1" showErrorMessage="1" xr:uid="{44559CED-4184-41CF-9735-22EEA069AE0E}">
          <x14:formula1>
            <xm:f>CatModulo!A330:A332</xm:f>
          </x14:formula1>
          <xm:sqref>C520:C614 C326:C328</xm:sqref>
        </x14:dataValidation>
        <x14:dataValidation type="list" allowBlank="1" showInputMessage="1" showErrorMessage="1" xr:uid="{726CFF77-A2EE-48AC-8AC7-F359B775967B}">
          <x14:formula1>
            <xm:f>CatModulo!A375:A377</xm:f>
          </x14:formula1>
          <xm:sqref>C368</xm:sqref>
        </x14:dataValidation>
        <x14:dataValidation type="list" allowBlank="1" showInputMessage="1" showErrorMessage="1" xr:uid="{6CBD4482-78DA-4906-989D-10842C912E7E}">
          <x14:formula1>
            <xm:f>CatModulo!A325:A327</xm:f>
          </x14:formula1>
          <xm:sqref>C322:C325</xm:sqref>
        </x14:dataValidation>
        <x14:dataValidation type="list" allowBlank="1" showInputMessage="1" showErrorMessage="1" xr:uid="{9314F82D-8D96-4362-9C8B-49AFDC86A7CB}">
          <x14:formula1>
            <xm:f>CatModulo!A323:A325</xm:f>
          </x14:formula1>
          <xm:sqref>C321</xm:sqref>
        </x14:dataValidation>
        <x14:dataValidation type="list" allowBlank="1" showInputMessage="1" showErrorMessage="1" xr:uid="{728237D1-C5FD-4368-B9B5-C29BD92DA19F}">
          <x14:formula1>
            <xm:f>CatModulo!A337:A339</xm:f>
          </x14:formula1>
          <xm:sqref>C329:C340</xm:sqref>
        </x14:dataValidation>
        <x14:dataValidation type="list" allowBlank="1" showInputMessage="1" showErrorMessage="1" xr:uid="{A3BEB51C-D512-42E6-9620-A4AFFCA376F7}">
          <x14:formula1>
            <xm:f>CatModulo!A350:A352</xm:f>
          </x14:formula1>
          <xm:sqref>C341:C353</xm:sqref>
        </x14:dataValidation>
        <x14:dataValidation type="list" allowBlank="1" showInputMessage="1" showErrorMessage="1" xr:uid="{13B9D3FC-FB07-4751-B3AF-DEB9DF294D0C}">
          <x14:formula1>
            <xm:f>CatModulo!A364:A366</xm:f>
          </x14:formula1>
          <xm:sqref>C354:C367</xm:sqref>
        </x14:dataValidation>
        <x14:dataValidation type="list" allowBlank="1" showInputMessage="1" showErrorMessage="1" xr:uid="{B124A6EE-AFB0-4A67-BEBF-1D94744A4553}">
          <x14:formula1>
            <xm:f>CatModulo!A4:A6</xm:f>
          </x14:formula1>
          <xm:sqref>C154 C3:C4 C105 C55</xm:sqref>
        </x14:dataValidation>
        <x14:dataValidation type="list" allowBlank="1" showInputMessage="1" showErrorMessage="1" xr:uid="{E203D4A0-6C6E-4C11-A0EB-034BE964F5A2}">
          <x14:formula1>
            <xm:f>CatModulo!A5:A7</xm:f>
          </x14:formula1>
          <xm:sqref>C5:C54 C319:C320</xm:sqref>
        </x14:dataValidation>
        <x14:dataValidation type="list" allowBlank="1" showInputMessage="1" showErrorMessage="1" xr:uid="{49A9ADFE-6E32-43A5-AF1E-026A12D29552}">
          <x14:formula1>
            <xm:f>CatModulo!A55:A57</xm:f>
          </x14:formula1>
          <xm:sqref>C56:C104 C310:C318</xm:sqref>
        </x14:dataValidation>
        <x14:dataValidation type="list" allowBlank="1" showInputMessage="1" showErrorMessage="1" xr:uid="{19169503-F24B-44BD-A3C2-81E2B1F2B097}">
          <x14:formula1>
            <xm:f>CatModulo!A104:A106</xm:f>
          </x14:formula1>
          <xm:sqref>C106:C153 C305:C309</xm:sqref>
        </x14:dataValidation>
        <x14:dataValidation type="list" allowBlank="1" showInputMessage="1" showErrorMessage="1" xr:uid="{DC17B276-3313-4126-BA60-A4F833C5EEE4}">
          <x14:formula1>
            <xm:f>CatModulo!A152:A154</xm:f>
          </x14:formula1>
          <xm:sqref>C155:C304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993D0-190F-4C14-AC38-C14A3371266B}">
  <sheetPr filterMode="1"/>
  <dimension ref="A1:K266"/>
  <sheetViews>
    <sheetView tabSelected="1" workbookViewId="0">
      <pane ySplit="1" topLeftCell="A3" activePane="bottomLeft" state="frozen"/>
      <selection pane="bottomLeft" activeCell="A3" sqref="A3"/>
      <selection activeCell="B1" sqref="B1"/>
    </sheetView>
  </sheetViews>
  <sheetFormatPr defaultColWidth="11.42578125" defaultRowHeight="14.45"/>
  <cols>
    <col min="1" max="1" width="76.42578125" customWidth="1"/>
    <col min="2" max="2" width="10.7109375" customWidth="1"/>
    <col min="3" max="3" width="12.5703125" bestFit="1" customWidth="1"/>
    <col min="4" max="4" width="20.28515625" bestFit="1" customWidth="1"/>
    <col min="5" max="5" width="27" bestFit="1" customWidth="1"/>
    <col min="6" max="6" width="14.85546875" style="85" bestFit="1" customWidth="1"/>
    <col min="7" max="7" width="14.42578125" style="85" bestFit="1" customWidth="1"/>
    <col min="8" max="8" width="14.28515625" bestFit="1" customWidth="1"/>
    <col min="9" max="9" width="60" customWidth="1"/>
    <col min="10" max="10" width="12.7109375" bestFit="1" customWidth="1"/>
    <col min="11" max="11" width="13.28515625" bestFit="1" customWidth="1"/>
  </cols>
  <sheetData>
    <row r="1" spans="1:11">
      <c r="A1" s="121" t="s">
        <v>2370</v>
      </c>
      <c r="B1" s="70" t="s">
        <v>2371</v>
      </c>
      <c r="C1" s="70" t="s">
        <v>2372</v>
      </c>
      <c r="D1" s="70" t="s">
        <v>30</v>
      </c>
      <c r="E1" s="70" t="s">
        <v>2373</v>
      </c>
      <c r="F1" s="110" t="s">
        <v>2374</v>
      </c>
      <c r="G1" s="110" t="s">
        <v>2375</v>
      </c>
      <c r="H1" s="70" t="s">
        <v>2376</v>
      </c>
      <c r="I1" s="121" t="s">
        <v>2377</v>
      </c>
      <c r="J1" s="70" t="s">
        <v>2378</v>
      </c>
      <c r="K1" s="70" t="s">
        <v>2379</v>
      </c>
    </row>
    <row r="2" spans="1:11" ht="43.5" hidden="1">
      <c r="A2" s="69" t="s">
        <v>2380</v>
      </c>
      <c r="B2" t="s">
        <v>89</v>
      </c>
      <c r="C2" t="s">
        <v>2381</v>
      </c>
      <c r="D2" t="s">
        <v>2136</v>
      </c>
      <c r="E2" t="s">
        <v>2382</v>
      </c>
      <c r="F2" s="66" t="s">
        <v>2383</v>
      </c>
      <c r="G2" s="66" t="s">
        <v>2384</v>
      </c>
      <c r="H2" s="94" t="s">
        <v>2383</v>
      </c>
      <c r="I2" s="69"/>
      <c r="J2" s="118">
        <v>46268</v>
      </c>
    </row>
    <row r="3" spans="1:11" ht="57.95" hidden="1">
      <c r="A3" s="69" t="s">
        <v>2385</v>
      </c>
      <c r="B3" t="s">
        <v>82</v>
      </c>
      <c r="C3" t="s">
        <v>2381</v>
      </c>
      <c r="D3" t="s">
        <v>2136</v>
      </c>
      <c r="E3" s="103" t="s">
        <v>2386</v>
      </c>
      <c r="F3" s="66" t="s">
        <v>2383</v>
      </c>
      <c r="G3" s="66" t="s">
        <v>2384</v>
      </c>
      <c r="H3" s="66">
        <v>1</v>
      </c>
      <c r="I3" s="69"/>
      <c r="J3" s="118">
        <v>46283</v>
      </c>
    </row>
    <row r="4" spans="1:11" ht="43.5">
      <c r="A4" s="69" t="s">
        <v>2387</v>
      </c>
      <c r="B4" t="s">
        <v>82</v>
      </c>
      <c r="C4" t="s">
        <v>2388</v>
      </c>
      <c r="D4" t="s">
        <v>2136</v>
      </c>
      <c r="E4" t="s">
        <v>2382</v>
      </c>
      <c r="F4" s="66" t="s">
        <v>2383</v>
      </c>
      <c r="G4" s="66"/>
      <c r="H4" s="66">
        <v>1</v>
      </c>
      <c r="I4" s="69" t="s">
        <v>2389</v>
      </c>
      <c r="J4" s="126">
        <v>46269</v>
      </c>
    </row>
    <row r="5" spans="1:11" ht="43.5">
      <c r="A5" s="69" t="s">
        <v>2390</v>
      </c>
      <c r="B5" t="s">
        <v>82</v>
      </c>
      <c r="C5" t="s">
        <v>2388</v>
      </c>
      <c r="D5" t="s">
        <v>2136</v>
      </c>
      <c r="E5" t="s">
        <v>2386</v>
      </c>
      <c r="F5" s="66" t="s">
        <v>2383</v>
      </c>
      <c r="G5" s="66"/>
      <c r="H5" s="66">
        <v>1</v>
      </c>
      <c r="I5" s="69" t="s">
        <v>2391</v>
      </c>
      <c r="J5" s="118">
        <v>46284</v>
      </c>
    </row>
    <row r="6" spans="1:11" ht="29.1" hidden="1">
      <c r="A6" s="69" t="s">
        <v>2392</v>
      </c>
      <c r="B6" t="s">
        <v>82</v>
      </c>
      <c r="C6" t="s">
        <v>288</v>
      </c>
      <c r="D6" t="s">
        <v>49</v>
      </c>
      <c r="E6" t="s">
        <v>2393</v>
      </c>
      <c r="F6" s="66" t="s">
        <v>2383</v>
      </c>
      <c r="G6" s="66" t="s">
        <v>2384</v>
      </c>
      <c r="H6" s="66" t="s">
        <v>2383</v>
      </c>
      <c r="I6" s="69" t="s">
        <v>2394</v>
      </c>
      <c r="J6" s="118">
        <v>46242</v>
      </c>
    </row>
    <row r="7" spans="1:11" ht="29.1" hidden="1">
      <c r="A7" s="69" t="s">
        <v>2395</v>
      </c>
      <c r="B7" t="s">
        <v>82</v>
      </c>
      <c r="C7" t="s">
        <v>288</v>
      </c>
      <c r="D7" t="s">
        <v>2136</v>
      </c>
      <c r="E7" s="103" t="s">
        <v>2386</v>
      </c>
      <c r="F7" s="66" t="s">
        <v>2383</v>
      </c>
      <c r="G7" s="66" t="s">
        <v>2384</v>
      </c>
      <c r="H7" s="66" t="s">
        <v>2383</v>
      </c>
      <c r="I7" s="69"/>
      <c r="J7" s="118">
        <v>46282</v>
      </c>
    </row>
    <row r="8" spans="1:11" hidden="1">
      <c r="A8" s="69" t="s">
        <v>2396</v>
      </c>
      <c r="B8" t="s">
        <v>82</v>
      </c>
      <c r="C8" t="s">
        <v>288</v>
      </c>
      <c r="D8" t="s">
        <v>2136</v>
      </c>
      <c r="E8" s="103" t="s">
        <v>2397</v>
      </c>
      <c r="F8" s="66" t="s">
        <v>2383</v>
      </c>
      <c r="G8" s="66"/>
      <c r="H8" s="66">
        <v>1</v>
      </c>
      <c r="I8" s="69"/>
      <c r="J8" s="118">
        <v>46282</v>
      </c>
    </row>
    <row r="9" spans="1:11" ht="43.5" hidden="1">
      <c r="A9" s="69" t="s">
        <v>2398</v>
      </c>
      <c r="B9" t="s">
        <v>82</v>
      </c>
      <c r="C9" t="s">
        <v>288</v>
      </c>
      <c r="D9" t="s">
        <v>228</v>
      </c>
      <c r="E9" s="103" t="s">
        <v>228</v>
      </c>
      <c r="F9" s="66" t="s">
        <v>2383</v>
      </c>
      <c r="G9" s="66" t="s">
        <v>2384</v>
      </c>
      <c r="H9" s="66">
        <v>1</v>
      </c>
      <c r="I9" s="69"/>
      <c r="J9" s="118">
        <v>46283</v>
      </c>
    </row>
    <row r="10" spans="1:11" ht="43.5" hidden="1">
      <c r="A10" s="69" t="s">
        <v>2399</v>
      </c>
      <c r="B10" t="s">
        <v>59</v>
      </c>
      <c r="C10" t="s">
        <v>288</v>
      </c>
      <c r="D10" t="s">
        <v>49</v>
      </c>
      <c r="E10" s="103" t="s">
        <v>284</v>
      </c>
      <c r="F10" s="66" t="s">
        <v>2383</v>
      </c>
      <c r="G10" s="66" t="s">
        <v>2384</v>
      </c>
      <c r="H10" s="66" t="s">
        <v>2383</v>
      </c>
      <c r="I10" s="69"/>
      <c r="J10" s="118">
        <v>46283</v>
      </c>
    </row>
    <row r="11" spans="1:11" ht="43.5" hidden="1">
      <c r="A11" s="69" t="s">
        <v>2400</v>
      </c>
      <c r="B11" t="s">
        <v>89</v>
      </c>
      <c r="C11" t="s">
        <v>288</v>
      </c>
      <c r="D11" t="s">
        <v>49</v>
      </c>
      <c r="E11" s="103" t="s">
        <v>610</v>
      </c>
      <c r="F11" s="66" t="s">
        <v>2383</v>
      </c>
      <c r="G11" s="66" t="s">
        <v>2384</v>
      </c>
      <c r="H11" s="66" t="s">
        <v>2383</v>
      </c>
      <c r="I11" s="69"/>
      <c r="J11" s="118">
        <v>46283</v>
      </c>
    </row>
    <row r="12" spans="1:11" ht="43.5" hidden="1">
      <c r="A12" s="69" t="s">
        <v>2401</v>
      </c>
      <c r="B12" t="s">
        <v>59</v>
      </c>
      <c r="C12" t="s">
        <v>288</v>
      </c>
      <c r="D12" t="s">
        <v>49</v>
      </c>
      <c r="E12" s="103" t="s">
        <v>610</v>
      </c>
      <c r="F12" s="66" t="s">
        <v>2383</v>
      </c>
      <c r="G12" s="66" t="s">
        <v>2384</v>
      </c>
      <c r="H12" s="66" t="s">
        <v>2383</v>
      </c>
      <c r="I12" s="69" t="s">
        <v>2402</v>
      </c>
      <c r="J12" s="126">
        <v>46286</v>
      </c>
    </row>
    <row r="13" spans="1:11" ht="43.5" hidden="1">
      <c r="A13" s="69" t="s">
        <v>2403</v>
      </c>
      <c r="B13" t="s">
        <v>82</v>
      </c>
      <c r="C13" t="s">
        <v>2404</v>
      </c>
      <c r="D13" t="s">
        <v>49</v>
      </c>
      <c r="E13" t="s">
        <v>2405</v>
      </c>
      <c r="F13" s="66" t="s">
        <v>2383</v>
      </c>
      <c r="G13" s="66"/>
      <c r="H13" s="66" t="s">
        <v>2383</v>
      </c>
      <c r="I13" s="69" t="s">
        <v>2406</v>
      </c>
      <c r="J13" s="118">
        <v>46273</v>
      </c>
    </row>
    <row r="14" spans="1:11" ht="29.1" hidden="1">
      <c r="A14" s="69" t="s">
        <v>2407</v>
      </c>
      <c r="B14" t="s">
        <v>82</v>
      </c>
      <c r="C14" t="s">
        <v>2404</v>
      </c>
      <c r="D14" t="s">
        <v>49</v>
      </c>
      <c r="E14" s="103" t="s">
        <v>284</v>
      </c>
      <c r="F14" s="66" t="s">
        <v>2383</v>
      </c>
      <c r="G14" s="66"/>
      <c r="H14" s="66" t="s">
        <v>2383</v>
      </c>
      <c r="I14" s="69" t="s">
        <v>2406</v>
      </c>
      <c r="J14" s="118">
        <v>46283</v>
      </c>
    </row>
    <row r="15" spans="1:11" ht="29.1" hidden="1">
      <c r="A15" s="69" t="s">
        <v>2408</v>
      </c>
      <c r="B15" t="s">
        <v>82</v>
      </c>
      <c r="C15" t="s">
        <v>2404</v>
      </c>
      <c r="D15" t="s">
        <v>49</v>
      </c>
      <c r="E15" s="103" t="s">
        <v>284</v>
      </c>
      <c r="F15" s="66" t="s">
        <v>2383</v>
      </c>
      <c r="G15" s="66"/>
      <c r="H15" s="66" t="s">
        <v>2409</v>
      </c>
      <c r="I15" s="69"/>
      <c r="J15" s="118">
        <v>46283</v>
      </c>
    </row>
    <row r="16" spans="1:11" ht="43.5" hidden="1">
      <c r="A16" s="69" t="s">
        <v>2410</v>
      </c>
      <c r="B16" t="s">
        <v>82</v>
      </c>
      <c r="C16" t="s">
        <v>2404</v>
      </c>
      <c r="D16" t="s">
        <v>49</v>
      </c>
      <c r="E16" s="103" t="s">
        <v>2405</v>
      </c>
      <c r="F16" s="66" t="s">
        <v>2383</v>
      </c>
      <c r="G16" s="66"/>
      <c r="H16" s="66" t="s">
        <v>2383</v>
      </c>
      <c r="I16" s="69"/>
      <c r="J16" s="118">
        <v>46283</v>
      </c>
    </row>
    <row r="17" spans="1:11" ht="29.1" hidden="1">
      <c r="A17" s="69" t="s">
        <v>2411</v>
      </c>
      <c r="B17" t="s">
        <v>82</v>
      </c>
      <c r="C17" t="s">
        <v>2412</v>
      </c>
      <c r="D17" t="s">
        <v>228</v>
      </c>
      <c r="E17" s="103" t="s">
        <v>228</v>
      </c>
      <c r="F17" s="66" t="s">
        <v>2383</v>
      </c>
      <c r="G17" s="66" t="s">
        <v>2383</v>
      </c>
      <c r="H17" s="66" t="s">
        <v>2383</v>
      </c>
      <c r="I17" s="69" t="s">
        <v>2413</v>
      </c>
      <c r="J17" s="126">
        <v>46275</v>
      </c>
    </row>
    <row r="18" spans="1:11" ht="29.1" hidden="1">
      <c r="A18" s="69" t="s">
        <v>2414</v>
      </c>
      <c r="B18" t="s">
        <v>82</v>
      </c>
      <c r="C18" t="s">
        <v>2412</v>
      </c>
      <c r="D18" t="s">
        <v>49</v>
      </c>
      <c r="E18" t="s">
        <v>1546</v>
      </c>
      <c r="F18" s="66" t="s">
        <v>2383</v>
      </c>
      <c r="G18" s="66" t="s">
        <v>2383</v>
      </c>
      <c r="H18" s="66" t="s">
        <v>2383</v>
      </c>
      <c r="I18" s="69"/>
      <c r="J18" s="118">
        <v>46276</v>
      </c>
    </row>
    <row r="19" spans="1:11" ht="43.5" hidden="1">
      <c r="A19" s="69" t="s">
        <v>2415</v>
      </c>
      <c r="B19" t="s">
        <v>59</v>
      </c>
      <c r="C19" t="s">
        <v>2412</v>
      </c>
      <c r="D19" t="s">
        <v>49</v>
      </c>
      <c r="E19" s="103" t="s">
        <v>2416</v>
      </c>
      <c r="F19" s="66" t="s">
        <v>2383</v>
      </c>
      <c r="G19" s="66" t="s">
        <v>2383</v>
      </c>
      <c r="H19" s="66" t="s">
        <v>2383</v>
      </c>
      <c r="I19" s="69" t="s">
        <v>2417</v>
      </c>
      <c r="J19" s="126">
        <v>46282</v>
      </c>
    </row>
    <row r="20" spans="1:11" ht="57.95" hidden="1">
      <c r="A20" s="69" t="s">
        <v>2418</v>
      </c>
      <c r="B20" t="s">
        <v>59</v>
      </c>
      <c r="C20" t="s">
        <v>2412</v>
      </c>
      <c r="D20" t="s">
        <v>49</v>
      </c>
      <c r="E20" s="103" t="s">
        <v>1546</v>
      </c>
      <c r="F20" s="66" t="s">
        <v>2383</v>
      </c>
      <c r="G20" s="66" t="s">
        <v>2383</v>
      </c>
      <c r="H20" s="66" t="s">
        <v>2383</v>
      </c>
      <c r="I20" s="73" t="s">
        <v>2419</v>
      </c>
      <c r="J20" s="126">
        <v>46283</v>
      </c>
    </row>
    <row r="21" spans="1:11" ht="57.95" hidden="1">
      <c r="A21" s="69" t="s">
        <v>2420</v>
      </c>
      <c r="B21" t="s">
        <v>59</v>
      </c>
      <c r="C21" t="s">
        <v>2412</v>
      </c>
      <c r="D21" t="s">
        <v>49</v>
      </c>
      <c r="E21" s="103" t="s">
        <v>2416</v>
      </c>
      <c r="F21" s="66" t="s">
        <v>2383</v>
      </c>
      <c r="G21" s="66" t="s">
        <v>2383</v>
      </c>
      <c r="H21" s="66" t="s">
        <v>2383</v>
      </c>
      <c r="I21" s="69" t="s">
        <v>2421</v>
      </c>
      <c r="J21" s="126">
        <v>46283</v>
      </c>
    </row>
    <row r="22" spans="1:11" ht="72.599999999999994" hidden="1">
      <c r="A22" s="69" t="s">
        <v>2422</v>
      </c>
      <c r="B22" t="s">
        <v>82</v>
      </c>
      <c r="C22" t="s">
        <v>2412</v>
      </c>
      <c r="D22" t="s">
        <v>49</v>
      </c>
      <c r="E22" t="s">
        <v>2416</v>
      </c>
      <c r="F22" s="66" t="s">
        <v>2383</v>
      </c>
      <c r="G22" s="66"/>
      <c r="H22" s="66">
        <v>1</v>
      </c>
      <c r="I22" s="69"/>
      <c r="J22" s="119"/>
    </row>
    <row r="23" spans="1:11" ht="43.5" hidden="1">
      <c r="A23" s="69" t="s">
        <v>2423</v>
      </c>
      <c r="B23" t="s">
        <v>82</v>
      </c>
      <c r="C23" t="s">
        <v>741</v>
      </c>
      <c r="D23" t="s">
        <v>2424</v>
      </c>
      <c r="E23" t="s">
        <v>2424</v>
      </c>
      <c r="F23" s="66" t="s">
        <v>2383</v>
      </c>
      <c r="G23" s="66" t="s">
        <v>2384</v>
      </c>
      <c r="H23" s="66" t="s">
        <v>2383</v>
      </c>
      <c r="I23" s="69" t="s">
        <v>2425</v>
      </c>
      <c r="J23" s="126">
        <v>46283</v>
      </c>
    </row>
    <row r="24" spans="1:11" ht="29.1" hidden="1">
      <c r="A24" s="69" t="s">
        <v>2426</v>
      </c>
      <c r="B24" t="s">
        <v>82</v>
      </c>
      <c r="C24" t="s">
        <v>741</v>
      </c>
      <c r="D24" t="s">
        <v>49</v>
      </c>
      <c r="E24" t="s">
        <v>2427</v>
      </c>
      <c r="F24" s="66" t="s">
        <v>2383</v>
      </c>
      <c r="G24" s="66" t="s">
        <v>2384</v>
      </c>
      <c r="H24" s="66">
        <v>1</v>
      </c>
      <c r="I24" s="69"/>
      <c r="J24" s="118">
        <v>46279</v>
      </c>
      <c r="K24" s="66"/>
    </row>
    <row r="25" spans="1:11" ht="43.5" hidden="1">
      <c r="A25" s="112" t="s">
        <v>2428</v>
      </c>
      <c r="B25" s="103" t="s">
        <v>82</v>
      </c>
      <c r="C25" s="103" t="s">
        <v>741</v>
      </c>
      <c r="D25" s="103" t="s">
        <v>228</v>
      </c>
      <c r="E25" s="103" t="s">
        <v>228</v>
      </c>
      <c r="F25" s="66" t="s">
        <v>2383</v>
      </c>
      <c r="G25" s="66" t="s">
        <v>2383</v>
      </c>
      <c r="H25" s="66" t="s">
        <v>2383</v>
      </c>
      <c r="I25" s="109" t="s">
        <v>2429</v>
      </c>
      <c r="J25" s="120">
        <v>46274</v>
      </c>
      <c r="K25" s="113">
        <v>46289</v>
      </c>
    </row>
    <row r="26" spans="1:11" ht="72.599999999999994" hidden="1">
      <c r="A26" s="112" t="s">
        <v>2430</v>
      </c>
      <c r="B26" s="107" t="s">
        <v>82</v>
      </c>
      <c r="C26" s="107" t="s">
        <v>741</v>
      </c>
      <c r="D26" s="107" t="s">
        <v>228</v>
      </c>
      <c r="E26" s="107" t="s">
        <v>228</v>
      </c>
      <c r="F26" s="66" t="s">
        <v>2383</v>
      </c>
      <c r="G26" s="66">
        <v>1</v>
      </c>
      <c r="H26" s="66">
        <v>1</v>
      </c>
      <c r="I26" s="111" t="s">
        <v>2431</v>
      </c>
      <c r="J26" s="120">
        <v>46269</v>
      </c>
      <c r="K26" s="66"/>
    </row>
    <row r="27" spans="1:11" ht="57.95" hidden="1">
      <c r="A27" s="112" t="s">
        <v>2432</v>
      </c>
      <c r="B27" s="107" t="s">
        <v>82</v>
      </c>
      <c r="C27" s="107" t="s">
        <v>741</v>
      </c>
      <c r="D27" s="107" t="s">
        <v>228</v>
      </c>
      <c r="E27" s="107" t="s">
        <v>228</v>
      </c>
      <c r="F27" s="66" t="s">
        <v>2383</v>
      </c>
      <c r="G27" s="66">
        <v>1</v>
      </c>
      <c r="H27" s="66">
        <v>1</v>
      </c>
      <c r="I27" s="111" t="s">
        <v>2433</v>
      </c>
      <c r="J27" s="120">
        <v>46269</v>
      </c>
      <c r="K27" s="66"/>
    </row>
    <row r="28" spans="1:11" ht="43.5" hidden="1">
      <c r="A28" s="112" t="s">
        <v>2434</v>
      </c>
      <c r="B28" s="103" t="s">
        <v>89</v>
      </c>
      <c r="C28" s="103" t="s">
        <v>741</v>
      </c>
      <c r="D28" s="103" t="s">
        <v>2424</v>
      </c>
      <c r="E28" s="103" t="s">
        <v>2424</v>
      </c>
      <c r="F28" s="66" t="s">
        <v>2383</v>
      </c>
      <c r="G28" s="66" t="s">
        <v>2383</v>
      </c>
      <c r="H28" s="66" t="s">
        <v>2383</v>
      </c>
      <c r="I28" s="111" t="s">
        <v>2435</v>
      </c>
      <c r="J28" s="120">
        <v>46286</v>
      </c>
      <c r="K28" s="66"/>
    </row>
    <row r="29" spans="1:11" ht="43.5" hidden="1">
      <c r="A29" s="112" t="s">
        <v>2436</v>
      </c>
      <c r="B29" s="103" t="s">
        <v>59</v>
      </c>
      <c r="C29" s="103" t="s">
        <v>741</v>
      </c>
      <c r="D29" s="103" t="s">
        <v>2424</v>
      </c>
      <c r="E29" s="103" t="s">
        <v>2424</v>
      </c>
      <c r="F29" s="66" t="s">
        <v>2383</v>
      </c>
      <c r="G29" s="66" t="s">
        <v>2383</v>
      </c>
      <c r="H29" s="66" t="s">
        <v>2383</v>
      </c>
      <c r="I29" s="111" t="s">
        <v>2435</v>
      </c>
      <c r="J29" s="120">
        <v>46286</v>
      </c>
      <c r="K29" s="66"/>
    </row>
    <row r="30" spans="1:11" ht="28.5" hidden="1" customHeight="1">
      <c r="A30" s="73" t="s">
        <v>2437</v>
      </c>
      <c r="B30" t="s">
        <v>82</v>
      </c>
      <c r="C30" t="s">
        <v>2404</v>
      </c>
      <c r="D30" t="s">
        <v>49</v>
      </c>
      <c r="E30" t="s">
        <v>2405</v>
      </c>
      <c r="F30" s="66" t="s">
        <v>2383</v>
      </c>
      <c r="G30" s="66"/>
      <c r="H30" s="66" t="s">
        <v>2383</v>
      </c>
      <c r="J30" s="118">
        <v>46283</v>
      </c>
    </row>
    <row r="31" spans="1:11" ht="29.25" hidden="1" customHeight="1">
      <c r="A31" s="73" t="s">
        <v>2438</v>
      </c>
      <c r="B31" t="s">
        <v>82</v>
      </c>
      <c r="C31" t="s">
        <v>288</v>
      </c>
      <c r="D31" t="s">
        <v>49</v>
      </c>
      <c r="E31" t="s">
        <v>2393</v>
      </c>
      <c r="F31" s="66" t="s">
        <v>2383</v>
      </c>
      <c r="G31" s="66" t="s">
        <v>2384</v>
      </c>
      <c r="H31" s="66">
        <v>1</v>
      </c>
      <c r="I31" s="69" t="s">
        <v>2439</v>
      </c>
      <c r="J31" s="127">
        <v>46286</v>
      </c>
    </row>
    <row r="32" spans="1:11" ht="29.25" hidden="1" customHeight="1">
      <c r="A32" s="128" t="s">
        <v>2440</v>
      </c>
      <c r="B32" t="s">
        <v>59</v>
      </c>
      <c r="C32" t="s">
        <v>741</v>
      </c>
      <c r="D32" t="s">
        <v>49</v>
      </c>
      <c r="E32" t="s">
        <v>2427</v>
      </c>
      <c r="F32" s="66" t="s">
        <v>2383</v>
      </c>
      <c r="G32" s="66" t="s">
        <v>2384</v>
      </c>
      <c r="H32" s="66" t="s">
        <v>2383</v>
      </c>
      <c r="I32" s="69" t="s">
        <v>2441</v>
      </c>
      <c r="J32" s="84">
        <v>46286</v>
      </c>
    </row>
    <row r="33" spans="1:11" ht="29.1" hidden="1">
      <c r="A33" s="69" t="s">
        <v>2442</v>
      </c>
      <c r="B33" t="s">
        <v>59</v>
      </c>
      <c r="C33" t="s">
        <v>741</v>
      </c>
      <c r="D33" t="s">
        <v>228</v>
      </c>
      <c r="E33" t="s">
        <v>2424</v>
      </c>
      <c r="F33" s="66" t="s">
        <v>2383</v>
      </c>
      <c r="G33" s="66" t="s">
        <v>2384</v>
      </c>
      <c r="H33" s="66">
        <v>1</v>
      </c>
      <c r="J33" s="84">
        <v>46286</v>
      </c>
    </row>
    <row r="34" spans="1:11" ht="29.1" hidden="1">
      <c r="A34" s="69" t="s">
        <v>2443</v>
      </c>
      <c r="B34" t="s">
        <v>59</v>
      </c>
      <c r="C34" t="s">
        <v>741</v>
      </c>
      <c r="D34" t="s">
        <v>228</v>
      </c>
      <c r="E34" t="s">
        <v>228</v>
      </c>
      <c r="F34" s="66" t="s">
        <v>2383</v>
      </c>
      <c r="G34" s="66" t="s">
        <v>2384</v>
      </c>
      <c r="H34" s="66" t="s">
        <v>2383</v>
      </c>
      <c r="I34" s="69" t="s">
        <v>2441</v>
      </c>
      <c r="J34" s="84">
        <v>46286</v>
      </c>
    </row>
    <row r="35" spans="1:11" ht="29.1" hidden="1">
      <c r="A35" s="69" t="s">
        <v>2444</v>
      </c>
      <c r="B35" t="s">
        <v>59</v>
      </c>
      <c r="C35" t="s">
        <v>741</v>
      </c>
      <c r="D35" t="s">
        <v>228</v>
      </c>
      <c r="E35" t="s">
        <v>228</v>
      </c>
      <c r="F35" s="66" t="s">
        <v>2383</v>
      </c>
      <c r="G35" s="66" t="s">
        <v>2384</v>
      </c>
      <c r="H35" s="66" t="s">
        <v>2383</v>
      </c>
      <c r="I35" s="69" t="s">
        <v>2441</v>
      </c>
      <c r="J35" s="84">
        <v>46286</v>
      </c>
    </row>
    <row r="36" spans="1:11" hidden="1">
      <c r="A36" s="69" t="s">
        <v>2445</v>
      </c>
      <c r="B36" t="s">
        <v>59</v>
      </c>
      <c r="C36" t="s">
        <v>741</v>
      </c>
      <c r="D36" t="s">
        <v>228</v>
      </c>
      <c r="E36" t="s">
        <v>228</v>
      </c>
      <c r="F36" s="66" t="s">
        <v>2383</v>
      </c>
      <c r="G36" s="66" t="s">
        <v>2384</v>
      </c>
      <c r="H36" s="66" t="s">
        <v>2383</v>
      </c>
      <c r="J36" s="84">
        <v>46286</v>
      </c>
    </row>
    <row r="37" spans="1:11" ht="72.599999999999994" hidden="1">
      <c r="A37" s="69" t="s">
        <v>2446</v>
      </c>
      <c r="B37" t="s">
        <v>59</v>
      </c>
      <c r="C37" t="s">
        <v>741</v>
      </c>
      <c r="D37" s="103" t="s">
        <v>2424</v>
      </c>
      <c r="E37" s="103" t="s">
        <v>2424</v>
      </c>
      <c r="F37" s="66"/>
      <c r="G37" s="66" t="s">
        <v>2384</v>
      </c>
      <c r="H37" s="66" t="s">
        <v>2383</v>
      </c>
      <c r="J37" s="113">
        <v>46287</v>
      </c>
    </row>
    <row r="38" spans="1:11" ht="72.599999999999994" hidden="1">
      <c r="A38" s="69" t="s">
        <v>2447</v>
      </c>
      <c r="B38" t="s">
        <v>59</v>
      </c>
      <c r="C38" t="s">
        <v>741</v>
      </c>
      <c r="D38" s="103" t="s">
        <v>2424</v>
      </c>
      <c r="E38" s="103" t="s">
        <v>2424</v>
      </c>
      <c r="F38" s="66"/>
      <c r="G38" s="66" t="s">
        <v>2384</v>
      </c>
      <c r="H38" s="66">
        <v>1</v>
      </c>
      <c r="J38" s="113">
        <v>46287</v>
      </c>
    </row>
    <row r="39" spans="1:11" ht="72.599999999999994" hidden="1">
      <c r="A39" s="69" t="s">
        <v>2448</v>
      </c>
      <c r="B39" t="s">
        <v>59</v>
      </c>
      <c r="C39" t="s">
        <v>741</v>
      </c>
      <c r="D39" s="103" t="s">
        <v>2424</v>
      </c>
      <c r="E39" s="103" t="s">
        <v>2424</v>
      </c>
      <c r="F39" s="66"/>
      <c r="G39" s="66" t="s">
        <v>2384</v>
      </c>
      <c r="H39" s="66">
        <v>1</v>
      </c>
      <c r="J39" s="113">
        <v>46287</v>
      </c>
    </row>
    <row r="40" spans="1:11" ht="72.599999999999994" hidden="1">
      <c r="A40" s="69" t="s">
        <v>2449</v>
      </c>
      <c r="B40" t="s">
        <v>59</v>
      </c>
      <c r="C40" t="s">
        <v>741</v>
      </c>
      <c r="D40" s="103" t="s">
        <v>2424</v>
      </c>
      <c r="E40" s="103" t="s">
        <v>2424</v>
      </c>
      <c r="F40" s="66"/>
      <c r="G40" s="66" t="s">
        <v>2384</v>
      </c>
      <c r="H40" s="66">
        <v>1</v>
      </c>
      <c r="J40" s="113">
        <v>46287</v>
      </c>
    </row>
    <row r="41" spans="1:11" ht="29.1" hidden="1">
      <c r="A41" s="69" t="s">
        <v>2450</v>
      </c>
      <c r="B41" t="s">
        <v>59</v>
      </c>
      <c r="C41" t="s">
        <v>741</v>
      </c>
      <c r="D41" s="103" t="s">
        <v>2424</v>
      </c>
      <c r="E41" s="103" t="s">
        <v>2424</v>
      </c>
      <c r="F41" s="66"/>
      <c r="G41" s="66" t="s">
        <v>2384</v>
      </c>
      <c r="H41" s="66">
        <v>1</v>
      </c>
      <c r="J41" s="113">
        <v>46287</v>
      </c>
    </row>
    <row r="42" spans="1:11" hidden="1">
      <c r="A42" s="69" t="s">
        <v>2451</v>
      </c>
      <c r="B42" t="s">
        <v>59</v>
      </c>
      <c r="C42" t="s">
        <v>741</v>
      </c>
      <c r="D42" s="103" t="s">
        <v>2424</v>
      </c>
      <c r="E42" s="103" t="s">
        <v>2424</v>
      </c>
      <c r="F42" s="66"/>
      <c r="G42" s="66" t="s">
        <v>2384</v>
      </c>
      <c r="H42" s="66">
        <v>1</v>
      </c>
      <c r="J42" s="113">
        <v>46287</v>
      </c>
    </row>
    <row r="43" spans="1:11" ht="72.599999999999994" hidden="1">
      <c r="A43" s="69" t="s">
        <v>2452</v>
      </c>
      <c r="B43" t="s">
        <v>59</v>
      </c>
      <c r="C43" t="s">
        <v>288</v>
      </c>
      <c r="D43" t="s">
        <v>49</v>
      </c>
      <c r="E43" s="103" t="s">
        <v>284</v>
      </c>
      <c r="F43" s="66"/>
      <c r="G43" s="66"/>
      <c r="H43" s="66" t="s">
        <v>2383</v>
      </c>
      <c r="I43" s="66" t="s">
        <v>2453</v>
      </c>
      <c r="J43" s="113">
        <v>46287</v>
      </c>
    </row>
    <row r="44" spans="1:11" ht="43.5" hidden="1">
      <c r="A44" s="111" t="s">
        <v>2454</v>
      </c>
      <c r="B44" s="107" t="s">
        <v>82</v>
      </c>
      <c r="C44" s="107" t="s">
        <v>741</v>
      </c>
      <c r="D44" s="107" t="s">
        <v>228</v>
      </c>
      <c r="E44" s="107" t="s">
        <v>228</v>
      </c>
      <c r="F44" s="66">
        <v>1</v>
      </c>
      <c r="G44" s="66" t="s">
        <v>2384</v>
      </c>
      <c r="H44" s="66">
        <v>1</v>
      </c>
      <c r="I44" s="107"/>
      <c r="J44" s="113">
        <v>46288</v>
      </c>
      <c r="K44" s="107"/>
    </row>
    <row r="45" spans="1:11" ht="72.599999999999994" hidden="1">
      <c r="A45" s="69" t="s">
        <v>2455</v>
      </c>
      <c r="B45" t="s">
        <v>59</v>
      </c>
      <c r="C45" t="s">
        <v>288</v>
      </c>
      <c r="D45" t="s">
        <v>2136</v>
      </c>
      <c r="E45" s="103" t="s">
        <v>2386</v>
      </c>
      <c r="F45" s="66"/>
      <c r="G45" s="66" t="s">
        <v>2384</v>
      </c>
      <c r="H45" s="66" t="s">
        <v>2383</v>
      </c>
      <c r="I45" s="109" t="s">
        <v>2456</v>
      </c>
      <c r="J45" s="113">
        <v>46288</v>
      </c>
    </row>
    <row r="46" spans="1:11" ht="72.599999999999994" hidden="1">
      <c r="A46" s="69" t="s">
        <v>2457</v>
      </c>
      <c r="B46" t="s">
        <v>59</v>
      </c>
      <c r="C46" t="s">
        <v>288</v>
      </c>
      <c r="D46" t="s">
        <v>2136</v>
      </c>
      <c r="E46" s="103" t="s">
        <v>2382</v>
      </c>
      <c r="F46" s="66" t="s">
        <v>2383</v>
      </c>
      <c r="G46" s="66" t="s">
        <v>2384</v>
      </c>
      <c r="H46" s="66" t="s">
        <v>2383</v>
      </c>
      <c r="I46" s="69" t="s">
        <v>2458</v>
      </c>
      <c r="J46" s="113">
        <v>46288</v>
      </c>
    </row>
    <row r="47" spans="1:11" ht="72.599999999999994" hidden="1">
      <c r="A47" s="69" t="s">
        <v>2459</v>
      </c>
      <c r="B47" t="s">
        <v>59</v>
      </c>
      <c r="C47" t="s">
        <v>288</v>
      </c>
      <c r="D47" t="s">
        <v>2136</v>
      </c>
      <c r="E47" s="103" t="s">
        <v>2382</v>
      </c>
      <c r="F47" s="66" t="s">
        <v>2383</v>
      </c>
      <c r="G47" s="66" t="s">
        <v>2384</v>
      </c>
      <c r="H47" s="66" t="s">
        <v>2383</v>
      </c>
      <c r="I47" s="69" t="s">
        <v>2460</v>
      </c>
      <c r="J47" s="113">
        <v>46288</v>
      </c>
    </row>
    <row r="48" spans="1:11" ht="72.599999999999994" hidden="1">
      <c r="A48" s="69" t="s">
        <v>2461</v>
      </c>
      <c r="B48" t="s">
        <v>59</v>
      </c>
      <c r="C48" t="s">
        <v>288</v>
      </c>
      <c r="D48" t="s">
        <v>2136</v>
      </c>
      <c r="E48" s="103" t="s">
        <v>2382</v>
      </c>
      <c r="F48" s="66" t="s">
        <v>2383</v>
      </c>
      <c r="G48" s="66" t="s">
        <v>2384</v>
      </c>
      <c r="H48" s="66" t="s">
        <v>2383</v>
      </c>
      <c r="I48" s="69" t="s">
        <v>2462</v>
      </c>
      <c r="J48" s="113">
        <v>46288</v>
      </c>
    </row>
    <row r="49" spans="1:10" ht="57.95" hidden="1">
      <c r="A49" s="69" t="s">
        <v>2463</v>
      </c>
      <c r="B49" t="s">
        <v>59</v>
      </c>
      <c r="C49" t="s">
        <v>288</v>
      </c>
      <c r="D49" t="s">
        <v>49</v>
      </c>
      <c r="E49" s="103" t="s">
        <v>610</v>
      </c>
      <c r="F49" s="66" t="s">
        <v>2383</v>
      </c>
      <c r="G49" s="66" t="s">
        <v>2384</v>
      </c>
      <c r="H49" s="66" t="s">
        <v>2383</v>
      </c>
      <c r="I49" s="69" t="s">
        <v>2464</v>
      </c>
      <c r="J49" s="113">
        <v>46288</v>
      </c>
    </row>
    <row r="50" spans="1:10">
      <c r="A50" s="78"/>
      <c r="F50" s="66"/>
      <c r="G50" s="66"/>
      <c r="H50" s="94"/>
    </row>
    <row r="51" spans="1:10">
      <c r="A51" s="69"/>
      <c r="F51"/>
      <c r="G51"/>
      <c r="H51" s="94"/>
    </row>
    <row r="52" spans="1:10">
      <c r="F52"/>
      <c r="G52"/>
      <c r="H52" s="94"/>
    </row>
    <row r="53" spans="1:10">
      <c r="A53" s="69"/>
      <c r="F53" s="66"/>
      <c r="G53" s="66"/>
      <c r="H53" s="93"/>
    </row>
    <row r="54" spans="1:10">
      <c r="A54" s="69"/>
      <c r="F54" s="66"/>
      <c r="G54" s="66"/>
      <c r="H54" s="93"/>
    </row>
    <row r="55" spans="1:10">
      <c r="F55" s="66"/>
      <c r="G55" s="66"/>
      <c r="H55" s="93"/>
    </row>
    <row r="56" spans="1:10">
      <c r="F56" s="66"/>
      <c r="G56" s="66"/>
      <c r="H56" s="93"/>
    </row>
    <row r="57" spans="1:10">
      <c r="A57" s="69"/>
      <c r="F57" s="66"/>
      <c r="G57" s="66"/>
      <c r="H57" s="93"/>
    </row>
    <row r="58" spans="1:10">
      <c r="A58" s="69"/>
      <c r="F58" s="66"/>
      <c r="G58" s="66"/>
      <c r="H58" s="93"/>
    </row>
    <row r="59" spans="1:10">
      <c r="A59" s="69"/>
      <c r="F59" s="66"/>
      <c r="G59" s="66"/>
      <c r="H59" s="93"/>
    </row>
    <row r="60" spans="1:10">
      <c r="A60" s="69"/>
      <c r="F60" s="66"/>
      <c r="G60" s="66"/>
      <c r="H60" s="93"/>
    </row>
    <row r="61" spans="1:10">
      <c r="A61" s="69"/>
      <c r="F61" s="66"/>
      <c r="G61" s="66"/>
      <c r="H61" s="93"/>
    </row>
    <row r="62" spans="1:10">
      <c r="A62" s="69"/>
      <c r="F62" s="66"/>
      <c r="G62" s="66"/>
      <c r="H62" s="94"/>
    </row>
    <row r="63" spans="1:10">
      <c r="A63" s="69"/>
      <c r="F63" s="66"/>
      <c r="G63" s="66"/>
      <c r="H63" s="94"/>
    </row>
    <row r="64" spans="1:10">
      <c r="A64" s="69"/>
      <c r="F64" s="66"/>
      <c r="G64" s="66"/>
      <c r="H64" s="93"/>
    </row>
    <row r="65" spans="1:9">
      <c r="A65" s="69"/>
      <c r="F65" s="66"/>
      <c r="G65" s="66"/>
      <c r="H65" s="93"/>
    </row>
    <row r="66" spans="1:9">
      <c r="A66" s="69"/>
      <c r="F66" s="66"/>
      <c r="G66" s="66"/>
      <c r="H66" s="93"/>
    </row>
    <row r="67" spans="1:9">
      <c r="A67" s="69"/>
      <c r="F67" s="66"/>
      <c r="G67" s="66"/>
      <c r="H67" s="94"/>
      <c r="I67" s="107"/>
    </row>
    <row r="68" spans="1:9">
      <c r="A68" s="69"/>
      <c r="F68" s="66"/>
      <c r="G68" s="66"/>
      <c r="H68" s="93"/>
    </row>
    <row r="69" spans="1:9">
      <c r="A69" s="69"/>
      <c r="F69" s="66"/>
      <c r="G69" s="66"/>
      <c r="H69" s="93"/>
    </row>
    <row r="70" spans="1:9">
      <c r="A70" s="69"/>
      <c r="F70" s="66"/>
      <c r="G70" s="66"/>
      <c r="H70" s="93"/>
    </row>
    <row r="71" spans="1:9">
      <c r="A71" s="69"/>
      <c r="F71" s="66"/>
      <c r="G71" s="66"/>
      <c r="H71" s="94"/>
    </row>
    <row r="72" spans="1:9">
      <c r="A72" s="69"/>
      <c r="F72" s="66"/>
      <c r="G72" s="66"/>
      <c r="H72" s="93"/>
    </row>
    <row r="73" spans="1:9">
      <c r="A73" s="69"/>
      <c r="F73" s="66"/>
      <c r="G73" s="66"/>
      <c r="H73" s="93"/>
    </row>
    <row r="74" spans="1:9">
      <c r="A74" s="69"/>
      <c r="F74" s="66"/>
      <c r="G74" s="66"/>
      <c r="H74" s="93"/>
    </row>
    <row r="75" spans="1:9">
      <c r="A75" s="69"/>
      <c r="F75" s="66"/>
      <c r="G75" s="66"/>
      <c r="H75" s="93"/>
    </row>
    <row r="76" spans="1:9">
      <c r="A76" s="69"/>
      <c r="F76" s="66"/>
      <c r="G76" s="66"/>
      <c r="H76" s="93"/>
    </row>
    <row r="77" spans="1:9">
      <c r="A77" s="69"/>
      <c r="F77"/>
      <c r="G77"/>
      <c r="H77" s="94"/>
    </row>
    <row r="78" spans="1:9">
      <c r="A78" s="69"/>
      <c r="F78" s="66"/>
      <c r="G78" s="66"/>
      <c r="H78" s="93"/>
    </row>
    <row r="79" spans="1:9">
      <c r="A79" s="69"/>
      <c r="F79" s="66"/>
      <c r="G79" s="66"/>
      <c r="H79" s="94"/>
    </row>
    <row r="80" spans="1:9">
      <c r="A80" s="69"/>
      <c r="F80" s="66"/>
      <c r="G80" s="66"/>
      <c r="H80" s="94"/>
    </row>
    <row r="81" spans="1:8">
      <c r="A81" s="69"/>
      <c r="F81" s="66"/>
      <c r="G81" s="66"/>
      <c r="H81" s="93"/>
    </row>
    <row r="82" spans="1:8">
      <c r="A82" s="69"/>
      <c r="F82" s="66"/>
      <c r="G82" s="66"/>
      <c r="H82" s="93"/>
    </row>
    <row r="83" spans="1:8">
      <c r="A83" s="69"/>
      <c r="F83" s="66"/>
      <c r="G83" s="66"/>
      <c r="H83" s="93"/>
    </row>
    <row r="84" spans="1:8">
      <c r="A84" s="69"/>
      <c r="F84" s="66"/>
      <c r="G84" s="66"/>
      <c r="H84" s="93"/>
    </row>
    <row r="85" spans="1:8">
      <c r="A85" s="69"/>
      <c r="F85" s="66"/>
      <c r="G85" s="66"/>
      <c r="H85" s="93"/>
    </row>
    <row r="86" spans="1:8">
      <c r="A86" s="69"/>
      <c r="F86" s="66"/>
      <c r="G86" s="66"/>
      <c r="H86" s="93"/>
    </row>
    <row r="87" spans="1:8">
      <c r="A87" s="69"/>
      <c r="F87" s="66"/>
      <c r="G87" s="66"/>
      <c r="H87" s="94"/>
    </row>
    <row r="88" spans="1:8">
      <c r="A88" s="69"/>
      <c r="F88" s="66"/>
      <c r="G88" s="66"/>
      <c r="H88" s="93"/>
    </row>
    <row r="89" spans="1:8">
      <c r="A89" s="69"/>
      <c r="F89" s="66"/>
      <c r="G89" s="66"/>
      <c r="H89" s="94"/>
    </row>
    <row r="90" spans="1:8">
      <c r="F90" s="66"/>
      <c r="G90" s="66"/>
      <c r="H90" s="93"/>
    </row>
    <row r="91" spans="1:8">
      <c r="F91" s="66"/>
      <c r="G91" s="66"/>
      <c r="H91" s="93"/>
    </row>
    <row r="92" spans="1:8">
      <c r="A92" s="69"/>
      <c r="F92" s="66"/>
      <c r="G92" s="66"/>
      <c r="H92" s="94"/>
    </row>
    <row r="93" spans="1:8">
      <c r="A93" s="69"/>
      <c r="F93" s="66"/>
      <c r="G93" s="66"/>
      <c r="H93" s="93"/>
    </row>
    <row r="94" spans="1:8">
      <c r="A94" s="69"/>
      <c r="F94" s="66"/>
      <c r="G94" s="66"/>
      <c r="H94" s="93"/>
    </row>
    <row r="95" spans="1:8">
      <c r="A95" s="69"/>
      <c r="F95" s="66"/>
      <c r="G95" s="66"/>
      <c r="H95" s="93"/>
    </row>
    <row r="96" spans="1:8">
      <c r="A96" s="69"/>
      <c r="F96" s="66"/>
      <c r="G96" s="66"/>
      <c r="H96" s="94"/>
    </row>
    <row r="97" spans="1:9">
      <c r="A97" s="69"/>
      <c r="F97" s="66"/>
      <c r="G97" s="66"/>
      <c r="H97" s="94"/>
    </row>
    <row r="98" spans="1:9">
      <c r="A98" s="69"/>
      <c r="F98" s="66"/>
      <c r="G98" s="66"/>
      <c r="H98" s="93"/>
      <c r="I98" s="84"/>
    </row>
    <row r="99" spans="1:9">
      <c r="A99" s="69"/>
      <c r="F99" s="66"/>
      <c r="G99" s="66"/>
      <c r="H99" s="93"/>
    </row>
    <row r="100" spans="1:9">
      <c r="A100" s="69"/>
      <c r="F100" s="66"/>
      <c r="G100" s="66"/>
      <c r="H100" s="93"/>
    </row>
    <row r="101" spans="1:9">
      <c r="A101" s="69"/>
      <c r="F101" s="66"/>
      <c r="G101" s="66"/>
      <c r="H101" s="93"/>
    </row>
    <row r="102" spans="1:9">
      <c r="A102" s="69"/>
      <c r="F102" s="66"/>
      <c r="G102" s="66"/>
      <c r="H102" s="93"/>
    </row>
    <row r="103" spans="1:9">
      <c r="A103" s="69"/>
      <c r="F103" s="66"/>
      <c r="G103" s="66"/>
      <c r="H103" s="93"/>
    </row>
    <row r="104" spans="1:9">
      <c r="A104" s="69"/>
      <c r="F104" s="66"/>
      <c r="G104" s="66"/>
      <c r="H104" s="93"/>
    </row>
    <row r="105" spans="1:9">
      <c r="A105" s="69"/>
      <c r="F105" s="66"/>
      <c r="G105" s="66"/>
      <c r="H105" s="93"/>
    </row>
    <row r="106" spans="1:9">
      <c r="A106" s="69"/>
      <c r="F106" s="66"/>
      <c r="G106" s="66"/>
      <c r="H106" s="93"/>
    </row>
    <row r="107" spans="1:9">
      <c r="A107" s="69"/>
      <c r="F107" s="66"/>
      <c r="G107" s="66"/>
      <c r="H107" s="93"/>
    </row>
    <row r="108" spans="1:9">
      <c r="A108" s="69"/>
      <c r="F108"/>
      <c r="G108"/>
      <c r="H108" s="94"/>
    </row>
    <row r="109" spans="1:9">
      <c r="A109" s="69"/>
      <c r="F109"/>
      <c r="G109"/>
      <c r="H109" s="94"/>
    </row>
    <row r="110" spans="1:9">
      <c r="A110" s="69"/>
      <c r="F110" s="66"/>
      <c r="G110" s="66"/>
      <c r="H110" s="93"/>
    </row>
    <row r="111" spans="1:9">
      <c r="A111" s="69"/>
      <c r="F111" s="66"/>
      <c r="G111" s="66"/>
      <c r="H111" s="93"/>
    </row>
    <row r="112" spans="1:9">
      <c r="A112" s="69"/>
      <c r="F112" s="66"/>
      <c r="G112" s="66"/>
      <c r="H112" s="93"/>
    </row>
    <row r="113" spans="1:9">
      <c r="A113" s="69"/>
      <c r="F113" s="66"/>
      <c r="G113" s="66"/>
      <c r="H113" s="93"/>
    </row>
    <row r="114" spans="1:9">
      <c r="F114" s="66"/>
      <c r="G114" s="66"/>
      <c r="H114" s="93"/>
    </row>
    <row r="115" spans="1:9">
      <c r="A115" s="69"/>
      <c r="F115" s="66"/>
      <c r="G115" s="66"/>
      <c r="H115" s="93"/>
    </row>
    <row r="116" spans="1:9">
      <c r="A116" s="69"/>
      <c r="F116" s="66"/>
      <c r="G116" s="66"/>
      <c r="H116" s="93"/>
    </row>
    <row r="117" spans="1:9">
      <c r="A117" s="69"/>
      <c r="F117" s="66"/>
      <c r="G117" s="66"/>
      <c r="H117" s="94"/>
      <c r="I117" s="66"/>
    </row>
    <row r="118" spans="1:9">
      <c r="F118" s="66"/>
      <c r="G118" s="66"/>
      <c r="H118" s="93"/>
    </row>
    <row r="119" spans="1:9">
      <c r="F119" s="66"/>
      <c r="G119" s="66"/>
      <c r="H119" s="93"/>
    </row>
    <row r="120" spans="1:9">
      <c r="F120" s="66"/>
      <c r="G120" s="66"/>
      <c r="H120" s="93"/>
    </row>
    <row r="121" spans="1:9">
      <c r="A121" s="69"/>
      <c r="F121" s="66"/>
      <c r="G121" s="66"/>
      <c r="H121" s="93"/>
    </row>
    <row r="122" spans="1:9">
      <c r="F122" s="66"/>
      <c r="G122" s="66"/>
      <c r="H122" s="93"/>
    </row>
    <row r="123" spans="1:9">
      <c r="F123" s="66"/>
      <c r="G123" s="66"/>
      <c r="H123" s="93"/>
    </row>
    <row r="124" spans="1:9">
      <c r="F124" s="66"/>
      <c r="G124" s="66"/>
      <c r="H124" s="93"/>
    </row>
    <row r="125" spans="1:9">
      <c r="F125" s="66"/>
      <c r="G125" s="66"/>
      <c r="H125" s="93"/>
    </row>
    <row r="126" spans="1:9">
      <c r="F126" s="66"/>
      <c r="G126" s="66"/>
      <c r="H126" s="93"/>
    </row>
    <row r="127" spans="1:9">
      <c r="F127" s="66"/>
      <c r="G127" s="66"/>
      <c r="H127" s="93"/>
    </row>
    <row r="128" spans="1:9">
      <c r="A128" s="69"/>
      <c r="F128" s="66"/>
      <c r="G128" s="66"/>
      <c r="H128" s="93"/>
    </row>
    <row r="129" spans="1:8">
      <c r="A129" s="69"/>
      <c r="F129" s="66"/>
      <c r="G129" s="66"/>
      <c r="H129" s="93"/>
    </row>
    <row r="130" spans="1:8">
      <c r="A130" s="69"/>
      <c r="F130" s="66"/>
      <c r="G130" s="66"/>
      <c r="H130" s="93"/>
    </row>
    <row r="131" spans="1:8">
      <c r="A131" s="69"/>
      <c r="F131" s="66"/>
      <c r="G131" s="66"/>
      <c r="H131" s="93"/>
    </row>
    <row r="132" spans="1:8">
      <c r="A132" s="69"/>
      <c r="F132" s="66"/>
      <c r="G132" s="66"/>
      <c r="H132" s="94"/>
    </row>
    <row r="133" spans="1:8">
      <c r="A133" s="69"/>
      <c r="F133" s="66"/>
      <c r="G133" s="66"/>
      <c r="H133" s="94"/>
    </row>
    <row r="134" spans="1:8">
      <c r="F134" s="66"/>
      <c r="G134" s="66"/>
      <c r="H134" s="93"/>
    </row>
    <row r="135" spans="1:8">
      <c r="H135" s="94"/>
    </row>
    <row r="136" spans="1:8">
      <c r="H136" s="94"/>
    </row>
    <row r="137" spans="1:8">
      <c r="H137" s="94"/>
    </row>
    <row r="138" spans="1:8">
      <c r="F138"/>
      <c r="H138" s="94"/>
    </row>
    <row r="139" spans="1:8">
      <c r="A139" s="69"/>
      <c r="G139" s="66"/>
      <c r="H139" s="94"/>
    </row>
    <row r="140" spans="1:8">
      <c r="G140" s="66"/>
      <c r="H140" s="94"/>
    </row>
    <row r="141" spans="1:8">
      <c r="H141" s="85"/>
    </row>
    <row r="142" spans="1:8">
      <c r="A142" s="69"/>
      <c r="F142" s="66"/>
      <c r="G142" s="66"/>
      <c r="H142" s="93"/>
    </row>
    <row r="143" spans="1:8">
      <c r="A143" s="69"/>
      <c r="F143" s="66"/>
      <c r="G143" s="66"/>
      <c r="H143" s="94"/>
    </row>
    <row r="144" spans="1:8">
      <c r="F144" s="66"/>
      <c r="G144" s="66"/>
      <c r="H144" s="93"/>
    </row>
    <row r="145" spans="1:10">
      <c r="H145" s="94"/>
    </row>
    <row r="146" spans="1:10">
      <c r="F146" s="66"/>
      <c r="G146" s="66"/>
      <c r="H146" s="93"/>
    </row>
    <row r="147" spans="1:10">
      <c r="F147" s="66"/>
      <c r="G147" s="66"/>
      <c r="H147" s="93"/>
    </row>
    <row r="148" spans="1:10">
      <c r="A148" s="69"/>
      <c r="F148" s="66"/>
      <c r="G148" s="66"/>
      <c r="H148" s="93"/>
    </row>
    <row r="149" spans="1:10">
      <c r="A149" s="69"/>
      <c r="F149" s="66"/>
      <c r="G149" s="66"/>
      <c r="H149" s="93"/>
    </row>
    <row r="150" spans="1:10">
      <c r="A150" s="69"/>
      <c r="H150" s="94"/>
      <c r="J150" s="84"/>
    </row>
    <row r="151" spans="1:10">
      <c r="A151" s="69"/>
      <c r="F151" s="66"/>
      <c r="G151" s="66"/>
      <c r="H151" s="94"/>
    </row>
    <row r="152" spans="1:10">
      <c r="A152" s="69"/>
      <c r="F152" s="66"/>
      <c r="G152" s="66"/>
      <c r="H152" s="94"/>
    </row>
    <row r="153" spans="1:10">
      <c r="A153" s="69"/>
      <c r="F153" s="66"/>
      <c r="G153" s="66"/>
      <c r="H153" s="94"/>
    </row>
    <row r="154" spans="1:10">
      <c r="A154" s="69"/>
      <c r="F154" s="66"/>
      <c r="G154" s="66"/>
      <c r="H154" s="94"/>
    </row>
    <row r="155" spans="1:10">
      <c r="A155" s="69"/>
      <c r="F155" s="66"/>
      <c r="G155" s="66"/>
      <c r="H155" s="94"/>
    </row>
    <row r="156" spans="1:10">
      <c r="A156" s="69"/>
      <c r="F156" s="66"/>
      <c r="G156" s="66"/>
      <c r="H156" s="94"/>
    </row>
    <row r="157" spans="1:10">
      <c r="G157" s="66"/>
      <c r="H157" s="66"/>
      <c r="J157" s="84"/>
    </row>
    <row r="158" spans="1:10">
      <c r="F158" s="66"/>
      <c r="G158" s="66"/>
      <c r="H158" s="66"/>
      <c r="J158" s="84"/>
    </row>
    <row r="159" spans="1:10">
      <c r="A159" s="114"/>
      <c r="F159" s="66"/>
      <c r="G159" s="66"/>
      <c r="H159" s="66"/>
      <c r="J159" s="84"/>
    </row>
    <row r="160" spans="1:10">
      <c r="G160" s="66"/>
      <c r="H160" s="85"/>
      <c r="J160" s="84"/>
    </row>
    <row r="161" spans="1:10">
      <c r="G161" s="66"/>
      <c r="H161" s="85"/>
      <c r="J161" s="84"/>
    </row>
    <row r="162" spans="1:10">
      <c r="G162" s="66"/>
      <c r="H162" s="85"/>
      <c r="J162" s="84"/>
    </row>
    <row r="163" spans="1:10">
      <c r="G163" s="66"/>
      <c r="H163" s="94"/>
      <c r="J163" s="84"/>
    </row>
    <row r="164" spans="1:10">
      <c r="A164" s="69"/>
      <c r="H164" s="94"/>
      <c r="J164" s="84"/>
    </row>
    <row r="165" spans="1:10">
      <c r="F165" s="66"/>
      <c r="G165" s="66"/>
      <c r="H165" s="94"/>
      <c r="J165" s="84"/>
    </row>
    <row r="166" spans="1:10">
      <c r="G166"/>
      <c r="H166" s="94"/>
      <c r="J166" s="84"/>
    </row>
    <row r="167" spans="1:10">
      <c r="G167"/>
      <c r="H167" s="94"/>
      <c r="J167" s="84"/>
    </row>
    <row r="168" spans="1:10">
      <c r="G168"/>
      <c r="H168" s="94"/>
      <c r="J168" s="84"/>
    </row>
    <row r="169" spans="1:10">
      <c r="G169"/>
      <c r="H169" s="94"/>
      <c r="J169" s="84"/>
    </row>
    <row r="170" spans="1:10">
      <c r="F170"/>
      <c r="G170"/>
      <c r="H170" s="94"/>
      <c r="J170" s="84"/>
    </row>
    <row r="171" spans="1:10">
      <c r="F171"/>
      <c r="G171"/>
      <c r="H171" s="94"/>
      <c r="J171" s="84"/>
    </row>
    <row r="172" spans="1:10">
      <c r="H172" s="94"/>
      <c r="J172" s="84"/>
    </row>
    <row r="173" spans="1:10">
      <c r="A173" s="69"/>
      <c r="H173" s="94"/>
      <c r="J173" s="84"/>
    </row>
    <row r="174" spans="1:10">
      <c r="F174" s="66"/>
      <c r="G174" s="66"/>
      <c r="H174" s="94"/>
      <c r="J174" s="84"/>
    </row>
    <row r="175" spans="1:10">
      <c r="F175" s="66"/>
      <c r="G175" s="66"/>
      <c r="H175" s="94"/>
      <c r="J175" s="84"/>
    </row>
    <row r="176" spans="1:10">
      <c r="F176" s="66"/>
      <c r="G176" s="66"/>
      <c r="H176" s="94"/>
      <c r="J176" s="84"/>
    </row>
    <row r="177" spans="1:11">
      <c r="H177" s="94"/>
      <c r="J177" s="84"/>
      <c r="K177" s="84"/>
    </row>
    <row r="178" spans="1:11">
      <c r="F178" s="66"/>
      <c r="G178" s="66"/>
      <c r="H178" s="94"/>
      <c r="J178" s="84"/>
    </row>
    <row r="179" spans="1:11">
      <c r="F179" s="66"/>
      <c r="G179" s="66"/>
      <c r="H179" s="94"/>
      <c r="J179" s="84"/>
    </row>
    <row r="180" spans="1:11">
      <c r="A180" s="69"/>
      <c r="F180" s="66"/>
      <c r="G180" s="66"/>
      <c r="H180" s="94"/>
      <c r="J180" s="84"/>
    </row>
    <row r="181" spans="1:11">
      <c r="H181" s="94"/>
      <c r="J181" s="84"/>
    </row>
    <row r="182" spans="1:11">
      <c r="F182"/>
      <c r="G182"/>
      <c r="H182" s="94"/>
      <c r="J182" s="84"/>
    </row>
    <row r="183" spans="1:11">
      <c r="A183" s="69"/>
      <c r="H183" s="94"/>
      <c r="J183" s="84"/>
    </row>
    <row r="184" spans="1:11">
      <c r="H184" s="94"/>
      <c r="J184" s="84"/>
    </row>
    <row r="185" spans="1:11">
      <c r="H185" s="94"/>
      <c r="J185" s="84"/>
    </row>
    <row r="186" spans="1:11">
      <c r="A186" s="69"/>
      <c r="F186"/>
      <c r="G186"/>
      <c r="H186" s="94"/>
      <c r="J186" s="84"/>
      <c r="K186" s="84"/>
    </row>
    <row r="187" spans="1:11">
      <c r="F187"/>
      <c r="G187"/>
      <c r="H187" s="94"/>
      <c r="J187" s="84"/>
      <c r="K187" s="84"/>
    </row>
    <row r="188" spans="1:11">
      <c r="A188" s="69"/>
      <c r="F188"/>
      <c r="G188"/>
      <c r="H188" s="94"/>
      <c r="J188" s="84"/>
      <c r="K188" s="84"/>
    </row>
    <row r="189" spans="1:11">
      <c r="A189" s="69"/>
      <c r="F189"/>
      <c r="G189"/>
      <c r="H189" s="94"/>
      <c r="J189" s="84"/>
      <c r="K189" s="84"/>
    </row>
    <row r="190" spans="1:11">
      <c r="A190" s="69"/>
      <c r="G190" s="66"/>
      <c r="H190" s="94"/>
      <c r="J190" s="84"/>
      <c r="K190" s="84"/>
    </row>
    <row r="191" spans="1:11">
      <c r="H191" s="94"/>
      <c r="J191" s="84"/>
      <c r="K191" s="84"/>
    </row>
    <row r="192" spans="1:11">
      <c r="A192" s="69"/>
      <c r="H192" s="94"/>
      <c r="J192" s="84"/>
    </row>
    <row r="193" spans="1:11">
      <c r="A193" s="69"/>
      <c r="F193"/>
      <c r="G193"/>
      <c r="H193" s="94"/>
      <c r="J193" s="84"/>
    </row>
    <row r="194" spans="1:11">
      <c r="A194" s="69"/>
      <c r="H194" s="94"/>
      <c r="J194" s="84"/>
      <c r="K194" s="84"/>
    </row>
    <row r="195" spans="1:11">
      <c r="F195"/>
      <c r="G195"/>
      <c r="H195" s="94"/>
    </row>
    <row r="196" spans="1:11">
      <c r="A196" s="69"/>
      <c r="F196"/>
      <c r="G196"/>
      <c r="H196" s="94"/>
    </row>
    <row r="197" spans="1:11">
      <c r="A197" s="69"/>
      <c r="F197"/>
      <c r="G197"/>
      <c r="H197" s="94"/>
    </row>
    <row r="198" spans="1:11">
      <c r="A198" s="69"/>
      <c r="H198" s="94"/>
      <c r="J198" s="84"/>
    </row>
    <row r="199" spans="1:11">
      <c r="A199" s="69"/>
      <c r="H199" s="94"/>
      <c r="J199" s="84"/>
    </row>
    <row r="200" spans="1:11">
      <c r="H200" s="85"/>
      <c r="J200" s="84"/>
    </row>
    <row r="201" spans="1:11">
      <c r="A201" s="69"/>
      <c r="H201" s="94"/>
      <c r="J201" s="84"/>
    </row>
    <row r="202" spans="1:11">
      <c r="A202" s="69"/>
      <c r="H202" s="94"/>
      <c r="J202" s="84"/>
    </row>
    <row r="203" spans="1:11">
      <c r="A203" s="69"/>
      <c r="H203" s="94"/>
      <c r="J203" s="84"/>
    </row>
    <row r="204" spans="1:11">
      <c r="A204" s="69"/>
      <c r="H204" s="94"/>
      <c r="J204" s="84"/>
    </row>
    <row r="205" spans="1:11">
      <c r="A205" s="69"/>
      <c r="F205"/>
      <c r="G205"/>
      <c r="H205" s="94"/>
    </row>
    <row r="206" spans="1:11">
      <c r="A206" s="69"/>
      <c r="G206"/>
      <c r="H206" s="94"/>
      <c r="J206" s="84"/>
    </row>
    <row r="207" spans="1:11">
      <c r="A207" s="69"/>
      <c r="G207"/>
      <c r="H207" s="94"/>
      <c r="J207" s="84"/>
    </row>
    <row r="208" spans="1:11">
      <c r="A208" s="69"/>
      <c r="G208"/>
      <c r="H208" s="94"/>
      <c r="J208" s="84"/>
    </row>
    <row r="209" spans="1:10">
      <c r="A209" s="69"/>
      <c r="G209"/>
      <c r="H209" s="94"/>
      <c r="J209" s="84"/>
    </row>
    <row r="210" spans="1:10">
      <c r="A210" s="69"/>
      <c r="H210" s="94"/>
      <c r="J210" s="84"/>
    </row>
    <row r="211" spans="1:10">
      <c r="A211" s="69"/>
      <c r="G211"/>
      <c r="H211" s="94"/>
      <c r="J211" s="84"/>
    </row>
    <row r="212" spans="1:10">
      <c r="A212" s="69"/>
      <c r="G212"/>
      <c r="H212" s="85"/>
      <c r="J212" s="84"/>
    </row>
    <row r="213" spans="1:10">
      <c r="A213" s="69"/>
      <c r="H213" s="85"/>
      <c r="J213" s="84"/>
    </row>
    <row r="214" spans="1:10">
      <c r="A214" s="69"/>
      <c r="G214"/>
      <c r="H214" s="85"/>
      <c r="J214" s="84"/>
    </row>
    <row r="215" spans="1:10">
      <c r="A215" s="69"/>
      <c r="G215"/>
      <c r="H215" s="85"/>
      <c r="J215" s="84"/>
    </row>
    <row r="216" spans="1:10">
      <c r="F216"/>
      <c r="H216" s="85"/>
    </row>
    <row r="217" spans="1:10">
      <c r="A217" s="69"/>
      <c r="F217"/>
      <c r="H217" s="85"/>
    </row>
    <row r="218" spans="1:10">
      <c r="A218" s="69"/>
      <c r="H218" s="85"/>
    </row>
    <row r="219" spans="1:10">
      <c r="A219" s="69"/>
      <c r="F219"/>
      <c r="G219" s="66"/>
      <c r="H219" s="85"/>
      <c r="J219" s="84"/>
    </row>
    <row r="220" spans="1:10">
      <c r="A220" s="115"/>
      <c r="B220" s="103"/>
      <c r="C220" s="103"/>
      <c r="D220" s="103"/>
      <c r="E220" s="103"/>
      <c r="F220" s="66"/>
      <c r="G220" s="66"/>
      <c r="H220" s="66"/>
      <c r="J220" s="84"/>
    </row>
    <row r="221" spans="1:10">
      <c r="A221" s="115"/>
      <c r="B221" s="103"/>
      <c r="C221" s="103"/>
      <c r="D221" s="103"/>
      <c r="E221" s="103"/>
      <c r="F221" s="66"/>
      <c r="G221" s="66"/>
      <c r="H221" s="66"/>
      <c r="J221" s="84"/>
    </row>
    <row r="222" spans="1:10">
      <c r="A222" s="115"/>
      <c r="B222" s="103"/>
      <c r="C222" s="103"/>
      <c r="D222" s="103"/>
      <c r="E222" s="103"/>
      <c r="F222" s="66"/>
      <c r="G222" s="66"/>
      <c r="H222" s="66"/>
      <c r="J222" s="84"/>
    </row>
    <row r="223" spans="1:10">
      <c r="A223" s="115"/>
      <c r="B223" s="103"/>
      <c r="C223" s="103"/>
      <c r="D223" s="103"/>
      <c r="E223" s="103"/>
      <c r="F223" s="66"/>
      <c r="G223" s="66"/>
      <c r="H223" s="66"/>
      <c r="J223" s="84"/>
    </row>
    <row r="224" spans="1:10">
      <c r="A224" s="115"/>
      <c r="B224" s="103"/>
      <c r="C224" s="103"/>
      <c r="D224" s="103"/>
      <c r="E224" s="103"/>
      <c r="F224" s="66"/>
      <c r="G224" s="66"/>
      <c r="H224" s="66"/>
      <c r="J224" s="84"/>
    </row>
    <row r="225" spans="1:11">
      <c r="A225" s="115"/>
      <c r="B225" s="103"/>
      <c r="C225" s="103"/>
      <c r="D225" s="103"/>
      <c r="E225" s="103"/>
      <c r="F225" s="66"/>
      <c r="G225" s="66"/>
      <c r="H225" s="66"/>
      <c r="J225" s="84"/>
    </row>
    <row r="226" spans="1:11">
      <c r="A226" s="115"/>
      <c r="B226" s="103"/>
      <c r="C226" s="103"/>
      <c r="D226" s="103"/>
      <c r="E226" s="103"/>
      <c r="F226" s="66"/>
      <c r="G226" s="66"/>
      <c r="H226" s="66"/>
      <c r="J226" s="84"/>
    </row>
    <row r="227" spans="1:11">
      <c r="A227" s="115"/>
      <c r="B227" s="103"/>
      <c r="C227" s="103"/>
      <c r="D227" s="103"/>
      <c r="E227" s="103"/>
      <c r="F227" s="66"/>
      <c r="G227" s="66"/>
      <c r="H227" s="66"/>
      <c r="J227" s="84"/>
    </row>
    <row r="228" spans="1:11">
      <c r="A228" s="69"/>
      <c r="F228" s="66"/>
      <c r="G228" s="66"/>
      <c r="H228" s="66"/>
      <c r="J228" s="84"/>
    </row>
    <row r="229" spans="1:11" s="103" customFormat="1">
      <c r="A229" s="116"/>
      <c r="F229" s="66"/>
      <c r="G229" s="66"/>
      <c r="H229" s="66"/>
      <c r="I229" s="109"/>
      <c r="J229" s="113"/>
      <c r="K229" s="66"/>
    </row>
    <row r="230" spans="1:11">
      <c r="B230" s="103"/>
      <c r="F230" s="66"/>
      <c r="G230" s="66"/>
      <c r="H230" s="85"/>
    </row>
    <row r="231" spans="1:11">
      <c r="B231" s="103"/>
      <c r="E231" s="89"/>
      <c r="F231" s="66"/>
      <c r="G231" s="66"/>
      <c r="H231" s="85"/>
    </row>
    <row r="232" spans="1:11">
      <c r="B232" s="103"/>
      <c r="F232" s="66"/>
      <c r="G232" s="66"/>
      <c r="H232" s="66"/>
    </row>
    <row r="233" spans="1:11">
      <c r="B233" s="103"/>
      <c r="F233" s="66"/>
      <c r="G233" s="66"/>
      <c r="H233" s="66"/>
      <c r="I233" s="69"/>
      <c r="K233" s="84"/>
    </row>
    <row r="234" spans="1:11">
      <c r="B234" s="103"/>
      <c r="F234" s="66"/>
      <c r="G234" s="66"/>
      <c r="H234" s="66"/>
      <c r="I234" s="69"/>
      <c r="K234" s="84"/>
    </row>
    <row r="235" spans="1:11">
      <c r="B235" s="103"/>
      <c r="F235" s="66"/>
      <c r="G235" s="66"/>
      <c r="H235" s="66"/>
    </row>
    <row r="236" spans="1:11">
      <c r="B236" s="103"/>
      <c r="F236" s="66"/>
      <c r="G236" s="66"/>
      <c r="H236" s="66"/>
    </row>
    <row r="237" spans="1:11">
      <c r="B237" s="103"/>
      <c r="F237" s="66"/>
      <c r="G237" s="66"/>
      <c r="H237" s="66"/>
    </row>
    <row r="238" spans="1:11">
      <c r="B238" s="103"/>
      <c r="H238" s="66"/>
      <c r="I238" s="69"/>
      <c r="K238" s="84"/>
    </row>
    <row r="239" spans="1:11">
      <c r="B239" s="103"/>
      <c r="F239"/>
      <c r="G239"/>
      <c r="H239" s="66"/>
    </row>
    <row r="240" spans="1:11">
      <c r="B240" s="103"/>
      <c r="F240"/>
      <c r="G240"/>
      <c r="H240" s="66"/>
      <c r="I240" s="69"/>
      <c r="K240" s="84"/>
    </row>
    <row r="241" spans="1:11">
      <c r="E241" s="89"/>
      <c r="H241" s="66"/>
      <c r="I241" s="69"/>
      <c r="J241" s="84"/>
      <c r="K241" s="84"/>
    </row>
    <row r="242" spans="1:11">
      <c r="H242" s="66"/>
      <c r="I242" s="69"/>
      <c r="K242" s="84"/>
    </row>
    <row r="243" spans="1:11">
      <c r="A243" s="69"/>
      <c r="H243" s="66"/>
      <c r="I243" s="69"/>
    </row>
    <row r="244" spans="1:11">
      <c r="A244" s="69"/>
      <c r="H244" s="66"/>
      <c r="I244" s="69"/>
    </row>
    <row r="245" spans="1:11">
      <c r="E245" s="89"/>
      <c r="F245" s="66"/>
      <c r="G245" s="66"/>
      <c r="H245" s="66"/>
    </row>
    <row r="246" spans="1:11">
      <c r="A246" s="69"/>
      <c r="F246"/>
      <c r="G246"/>
      <c r="H246" s="66"/>
      <c r="I246" s="69"/>
      <c r="K246" s="84"/>
    </row>
    <row r="247" spans="1:11">
      <c r="A247" s="69"/>
      <c r="F247"/>
      <c r="G247"/>
      <c r="H247" s="66"/>
      <c r="I247" s="69"/>
    </row>
    <row r="248" spans="1:11">
      <c r="F248"/>
      <c r="G248"/>
      <c r="H248" s="66"/>
      <c r="I248" s="69"/>
      <c r="J248" s="84"/>
    </row>
    <row r="249" spans="1:11">
      <c r="A249" s="69"/>
      <c r="F249"/>
      <c r="G249"/>
      <c r="H249" s="66"/>
      <c r="J249" s="84"/>
    </row>
    <row r="250" spans="1:11">
      <c r="A250" s="115"/>
      <c r="B250" s="107"/>
      <c r="C250" s="107"/>
      <c r="D250" s="107"/>
      <c r="E250" s="107"/>
      <c r="F250" s="66"/>
      <c r="G250" s="66"/>
      <c r="H250" s="66"/>
      <c r="I250" s="111"/>
      <c r="J250" s="113"/>
      <c r="K250" s="66"/>
    </row>
    <row r="251" spans="1:11">
      <c r="A251" s="117"/>
      <c r="B251" s="107"/>
      <c r="C251" s="107"/>
      <c r="D251" s="107"/>
      <c r="E251" s="107"/>
      <c r="F251" s="66"/>
      <c r="G251" s="66"/>
      <c r="H251" s="66"/>
      <c r="I251" s="107"/>
      <c r="J251" s="113"/>
      <c r="K251" s="66"/>
    </row>
    <row r="252" spans="1:11">
      <c r="A252" s="69"/>
      <c r="H252" s="66"/>
      <c r="J252" s="84"/>
    </row>
    <row r="253" spans="1:11">
      <c r="A253" s="69"/>
      <c r="H253" s="66"/>
      <c r="J253" s="84"/>
    </row>
    <row r="254" spans="1:11">
      <c r="H254" s="66"/>
      <c r="I254" s="69"/>
      <c r="J254" s="84"/>
    </row>
    <row r="255" spans="1:11">
      <c r="A255" s="69"/>
      <c r="H255" s="66"/>
      <c r="I255" s="69"/>
      <c r="J255" s="84"/>
    </row>
    <row r="256" spans="1:11">
      <c r="A256" s="69"/>
      <c r="H256" s="66"/>
      <c r="I256" s="69"/>
      <c r="J256" s="84"/>
      <c r="K256" s="113"/>
    </row>
    <row r="257" spans="1:11">
      <c r="A257" s="69"/>
      <c r="F257"/>
      <c r="G257"/>
      <c r="H257" s="66"/>
      <c r="J257" s="84"/>
    </row>
    <row r="258" spans="1:11">
      <c r="A258" s="69"/>
      <c r="G258"/>
      <c r="H258" s="66"/>
      <c r="J258" s="84"/>
    </row>
    <row r="259" spans="1:11">
      <c r="A259" s="103"/>
      <c r="D259" s="103"/>
      <c r="E259" s="103"/>
      <c r="F259" s="66"/>
      <c r="G259" s="66"/>
      <c r="H259" s="66"/>
      <c r="I259" s="111"/>
      <c r="J259" s="113"/>
      <c r="K259" s="113"/>
    </row>
    <row r="260" spans="1:11">
      <c r="A260" s="103"/>
      <c r="B260" s="103"/>
      <c r="C260" s="103"/>
      <c r="D260" s="103"/>
      <c r="E260" s="103"/>
      <c r="F260" s="66"/>
      <c r="G260" s="66"/>
      <c r="H260" s="66"/>
      <c r="I260" s="111"/>
      <c r="J260" s="113"/>
      <c r="K260" s="66"/>
    </row>
    <row r="261" spans="1:11">
      <c r="A261" s="103"/>
      <c r="B261" s="103"/>
      <c r="C261" s="103"/>
      <c r="D261" s="103"/>
      <c r="E261" s="103"/>
      <c r="F261" s="66"/>
      <c r="G261" s="66"/>
      <c r="H261" s="66"/>
      <c r="I261" s="111"/>
      <c r="J261" s="113"/>
      <c r="K261" s="66"/>
    </row>
    <row r="262" spans="1:11">
      <c r="E262" s="103"/>
      <c r="H262" s="66"/>
      <c r="J262" s="84"/>
    </row>
    <row r="263" spans="1:11">
      <c r="H263" s="66"/>
      <c r="J263" s="84"/>
    </row>
    <row r="264" spans="1:11">
      <c r="E264" s="103"/>
      <c r="H264" s="66"/>
      <c r="J264" s="84"/>
    </row>
    <row r="265" spans="1:11">
      <c r="E265" s="103"/>
      <c r="H265" s="66"/>
      <c r="J265" s="84"/>
    </row>
    <row r="266" spans="1:11">
      <c r="E266" s="103"/>
      <c r="H266" s="66"/>
      <c r="J266" s="84"/>
    </row>
  </sheetData>
  <autoFilter ref="A1:K49" xr:uid="{1BA993D0-190F-4C14-AC38-C14A3371266B}">
    <filterColumn colId="2">
      <filters>
        <filter val="David"/>
      </filters>
    </filterColumn>
    <filterColumn colId="7">
      <filters>
        <filter val="1"/>
      </filters>
    </filterColumn>
  </autoFilter>
  <sortState xmlns:xlrd2="http://schemas.microsoft.com/office/spreadsheetml/2017/richdata2" ref="A2:F23">
    <sortCondition ref="E2:E23"/>
  </sortState>
  <hyperlinks>
    <hyperlink ref="A25" r:id="rId1" xr:uid="{4E26D548-74E2-4470-8A01-0744C33BF9DD}"/>
    <hyperlink ref="A28" r:id="rId2" xr:uid="{D3E2DE90-E3A5-44D0-899D-EE4ACDAFAE3A}"/>
    <hyperlink ref="A29" r:id="rId3" xr:uid="{644B820C-0F03-48A1-BCEF-CB9739BF030B}"/>
    <hyperlink ref="A27" r:id="rId4" xr:uid="{1F0536B4-5C3C-4B39-AC11-E5C09597F378}"/>
    <hyperlink ref="A26" r:id="rId5" xr:uid="{102D3A65-8564-4048-B935-56A7CA6B7C76}"/>
  </hyperlinks>
  <pageMargins left="0.7" right="0.7" top="0.75" bottom="0.75" header="0.3" footer="0.3"/>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D7545-8ACD-4BE2-9D30-40B76ECB8EE6}">
  <dimension ref="A1:G12"/>
  <sheetViews>
    <sheetView workbookViewId="0">
      <selection sqref="A1:G11"/>
    </sheetView>
  </sheetViews>
  <sheetFormatPr defaultColWidth="11.42578125" defaultRowHeight="14.45"/>
  <cols>
    <col min="1" max="1" width="27.28515625" customWidth="1"/>
    <col min="2" max="5" width="15.42578125" customWidth="1"/>
    <col min="6" max="6" width="10.5703125" bestFit="1" customWidth="1"/>
    <col min="7" max="7" width="12.42578125" bestFit="1" customWidth="1"/>
  </cols>
  <sheetData>
    <row r="1" spans="1:7" ht="27.95" customHeight="1">
      <c r="A1" s="140" t="s">
        <v>2465</v>
      </c>
      <c r="B1" s="140"/>
      <c r="C1" s="140"/>
      <c r="D1" s="140"/>
      <c r="E1" s="140"/>
      <c r="F1" s="140"/>
      <c r="G1" s="140"/>
    </row>
    <row r="2" spans="1:7">
      <c r="A2" s="139" t="s">
        <v>2466</v>
      </c>
      <c r="B2" s="139"/>
      <c r="C2" s="139"/>
      <c r="D2" s="139"/>
      <c r="E2" s="139"/>
      <c r="F2" s="139"/>
    </row>
    <row r="3" spans="1:7">
      <c r="A3" t="s">
        <v>2372</v>
      </c>
      <c r="B3" t="s">
        <v>2467</v>
      </c>
      <c r="C3" t="s">
        <v>82</v>
      </c>
      <c r="D3" t="s">
        <v>89</v>
      </c>
      <c r="E3" t="s">
        <v>59</v>
      </c>
      <c r="F3" t="s">
        <v>2468</v>
      </c>
      <c r="G3" t="s">
        <v>2469</v>
      </c>
    </row>
    <row r="4" spans="1:7">
      <c r="A4" t="s">
        <v>741</v>
      </c>
      <c r="B4" s="123">
        <f>COUNTIF('Listado Issue Abiertos'!$C$2:$C$217,$A4)</f>
        <v>19</v>
      </c>
      <c r="C4" s="123">
        <f>COUNTIFS('Listado Issue Abiertos'!$C$2:$C$217,$A4,'Listado Issue Abiertos'!$B$2:$B$217,C$3)</f>
        <v>6</v>
      </c>
      <c r="D4" s="123">
        <f>COUNTIFS('Listado Issue Abiertos'!$C$2:$C$217,$A4,'Listado Issue Abiertos'!$B$2:$B$217,D$3)</f>
        <v>1</v>
      </c>
      <c r="E4" s="123">
        <f>COUNTIFS('Listado Issue Abiertos'!$C$2:$C$217,$A4,'Listado Issue Abiertos'!$B$2:$B$217,E$3)</f>
        <v>12</v>
      </c>
      <c r="F4" s="123">
        <v>9</v>
      </c>
      <c r="G4" s="123">
        <f>tblCargaResponsable[[#This Row],[Total asignado]]-tblCargaResponsable[[#This Row],[Cerrados]]</f>
        <v>10</v>
      </c>
    </row>
    <row r="5" spans="1:7">
      <c r="A5" t="s">
        <v>288</v>
      </c>
      <c r="B5" s="123">
        <f>COUNTIF('Listado Issue Abiertos'!$C$2:$C$217,$A5)</f>
        <v>14</v>
      </c>
      <c r="C5" s="123">
        <f>COUNTIFS('Listado Issue Abiertos'!$C$2:$C$217,$A5,'Listado Issue Abiertos'!$B$2:$B$217,C$3)</f>
        <v>5</v>
      </c>
      <c r="D5" s="123">
        <f>COUNTIFS('Listado Issue Abiertos'!$C$2:$C$217,$A5,'Listado Issue Abiertos'!$B$2:$B$217,D$3)</f>
        <v>1</v>
      </c>
      <c r="E5" s="123">
        <f>COUNTIFS('Listado Issue Abiertos'!$C$2:$C$217,$A5,'Listado Issue Abiertos'!$B$2:$B$217,E$3)</f>
        <v>8</v>
      </c>
      <c r="F5" s="123">
        <v>11</v>
      </c>
      <c r="G5" s="123">
        <f>tblCargaResponsable[[#This Row],[Total asignado]]-tblCargaResponsable[[#This Row],[Cerrados]]</f>
        <v>3</v>
      </c>
    </row>
    <row r="6" spans="1:7">
      <c r="A6" t="s">
        <v>2412</v>
      </c>
      <c r="B6" s="123">
        <f>COUNTIF('Listado Issue Abiertos'!$C$2:$C$217,$A6)</f>
        <v>6</v>
      </c>
      <c r="C6" s="123">
        <f>COUNTIFS('Listado Issue Abiertos'!$C$2:$C$217,$A6,'Listado Issue Abiertos'!$B$2:$B$217,C$3)</f>
        <v>3</v>
      </c>
      <c r="D6" s="123">
        <f>COUNTIFS('Listado Issue Abiertos'!$C$2:$C$217,$A6,'Listado Issue Abiertos'!$B$2:$B$217,D$3)</f>
        <v>0</v>
      </c>
      <c r="E6" s="123">
        <f>COUNTIFS('Listado Issue Abiertos'!$C$2:$C$217,$A6,'Listado Issue Abiertos'!$B$2:$B$217,E$3)</f>
        <v>3</v>
      </c>
      <c r="F6" s="123">
        <v>5</v>
      </c>
      <c r="G6" s="123">
        <f>tblCargaResponsable[[#This Row],[Total asignado]]-tblCargaResponsable[[#This Row],[Cerrados]]</f>
        <v>1</v>
      </c>
    </row>
    <row r="7" spans="1:7">
      <c r="A7" t="s">
        <v>2404</v>
      </c>
      <c r="B7" s="123">
        <f>COUNTIF('Listado Issue Abiertos'!$C$2:$C$217,$A7)</f>
        <v>5</v>
      </c>
      <c r="C7" s="123">
        <f>COUNTIFS('Listado Issue Abiertos'!$C$2:$C$217,$A7,'Listado Issue Abiertos'!$B$2:$B$217,C$3)</f>
        <v>5</v>
      </c>
      <c r="D7" s="123">
        <f>COUNTIFS('Listado Issue Abiertos'!$C$2:$C$217,$A7,'Listado Issue Abiertos'!$B$2:$B$217,D$3)</f>
        <v>0</v>
      </c>
      <c r="E7" s="123">
        <f>COUNTIFS('Listado Issue Abiertos'!$C$2:$C$217,$A7,'Listado Issue Abiertos'!$B$2:$B$217,E$3)</f>
        <v>0</v>
      </c>
      <c r="F7" s="123">
        <v>5</v>
      </c>
      <c r="G7" s="123">
        <f>tblCargaResponsable[[#This Row],[Total asignado]]-tblCargaResponsable[[#This Row],[Cerrados]]</f>
        <v>0</v>
      </c>
    </row>
    <row r="8" spans="1:7">
      <c r="A8" t="s">
        <v>2381</v>
      </c>
      <c r="B8" s="123">
        <f>COUNTIF('Listado Issue Abiertos'!$C$2:$C$217,$A8)</f>
        <v>2</v>
      </c>
      <c r="C8" s="123">
        <f>COUNTIFS('Listado Issue Abiertos'!$C$2:$C$217,$A8,'Listado Issue Abiertos'!$B$2:$B$217,C$3)</f>
        <v>1</v>
      </c>
      <c r="D8" s="123">
        <f>COUNTIFS('Listado Issue Abiertos'!$C$2:$C$217,$A8,'Listado Issue Abiertos'!$B$2:$B$217,D$3)</f>
        <v>1</v>
      </c>
      <c r="E8" s="123">
        <f>COUNTIFS('Listado Issue Abiertos'!$C$2:$C$217,$A8,'Listado Issue Abiertos'!$B$2:$B$217,E$3)</f>
        <v>0</v>
      </c>
      <c r="F8" s="123">
        <v>1</v>
      </c>
      <c r="G8" s="123">
        <f>tblCargaResponsable[[#This Row],[Total asignado]]-tblCargaResponsable[[#This Row],[Cerrados]]</f>
        <v>1</v>
      </c>
    </row>
    <row r="9" spans="1:7">
      <c r="A9" t="s">
        <v>2388</v>
      </c>
      <c r="B9" s="123">
        <f>COUNTIF('Listado Issue Abiertos'!$C$2:$C$217,$A9)</f>
        <v>2</v>
      </c>
      <c r="C9" s="123">
        <f>COUNTIFS('Listado Issue Abiertos'!$C$2:$C$217,$A9,'Listado Issue Abiertos'!$B$2:$B$217,C$3)</f>
        <v>2</v>
      </c>
      <c r="D9" s="123">
        <f>COUNTIFS('Listado Issue Abiertos'!$C$2:$C$217,$A9,'Listado Issue Abiertos'!$B$2:$B$217,D$3)</f>
        <v>0</v>
      </c>
      <c r="E9" s="123">
        <f>COUNTIFS('Listado Issue Abiertos'!$C$2:$C$217,$A9,'Listado Issue Abiertos'!$B$2:$B$217,E$3)</f>
        <v>0</v>
      </c>
      <c r="F9" s="123">
        <v>0</v>
      </c>
      <c r="G9" s="123">
        <f>tblCargaResponsable[[#This Row],[Total asignado]]-tblCargaResponsable[[#This Row],[Cerrados]]</f>
        <v>2</v>
      </c>
    </row>
    <row r="10" spans="1:7">
      <c r="B10" s="123"/>
      <c r="C10" s="123"/>
      <c r="D10" s="123"/>
      <c r="E10" s="123"/>
    </row>
    <row r="11" spans="1:7">
      <c r="A11" s="122" t="s">
        <v>2470</v>
      </c>
      <c r="B11" s="124">
        <f>SUM(B4:B9)</f>
        <v>48</v>
      </c>
      <c r="C11" s="124">
        <f>SUM(C4:C9)</f>
        <v>22</v>
      </c>
      <c r="D11" s="124">
        <f>SUM(D4:D9)</f>
        <v>3</v>
      </c>
      <c r="E11" s="124">
        <f>SUM(E4:E9)</f>
        <v>23</v>
      </c>
      <c r="F11" s="124">
        <f>SUM(F4:F9)</f>
        <v>31</v>
      </c>
      <c r="G11" s="124">
        <f>SUM(G4:G9)</f>
        <v>17</v>
      </c>
    </row>
    <row r="12" spans="1:7">
      <c r="B12" s="123"/>
    </row>
  </sheetData>
  <mergeCells count="2">
    <mergeCell ref="A2:F2"/>
    <mergeCell ref="A1:G1"/>
  </mergeCells>
  <conditionalFormatting sqref="B4:B9">
    <cfRule type="dataBar" priority="1">
      <dataBar>
        <cfvo type="min"/>
        <cfvo type="max"/>
        <color rgb="FF638EC6"/>
      </dataBar>
      <extLst>
        <ext xmlns:x14="http://schemas.microsoft.com/office/spreadsheetml/2009/9/main" uri="{B025F937-C7B1-47D3-B67F-A62EFF666E3E}">
          <x14:id>{5836B662-D5B5-4D25-ACB6-0F319796F11E}</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836B662-D5B5-4D25-ACB6-0F319796F11E}">
            <x14:dataBar minLength="0" maxLength="100" negativeBarColorSameAsPositive="1" axisPosition="none">
              <x14:cfvo type="min"/>
              <x14:cfvo type="max"/>
            </x14:dataBar>
          </x14:cfRule>
          <xm:sqref>B4:B9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EC69-CB38-466A-92A7-23AC1D2916A7}">
  <dimension ref="A3:B17"/>
  <sheetViews>
    <sheetView workbookViewId="0">
      <selection activeCell="A3" sqref="A3"/>
    </sheetView>
  </sheetViews>
  <sheetFormatPr defaultColWidth="11.42578125" defaultRowHeight="14.45"/>
  <cols>
    <col min="1" max="1" width="19.28515625" bestFit="1" customWidth="1"/>
    <col min="2" max="2" width="18.85546875" bestFit="1" customWidth="1"/>
  </cols>
  <sheetData>
    <row r="3" spans="1:2">
      <c r="A3" s="92" t="s">
        <v>2471</v>
      </c>
      <c r="B3" t="s">
        <v>2472</v>
      </c>
    </row>
    <row r="4" spans="1:2">
      <c r="A4" s="89" t="s">
        <v>284</v>
      </c>
      <c r="B4">
        <v>0</v>
      </c>
    </row>
    <row r="5" spans="1:2">
      <c r="A5" s="89" t="s">
        <v>2424</v>
      </c>
      <c r="B5">
        <v>6</v>
      </c>
    </row>
    <row r="6" spans="1:2">
      <c r="A6" s="89" t="s">
        <v>2397</v>
      </c>
      <c r="B6">
        <v>1</v>
      </c>
    </row>
    <row r="7" spans="1:2">
      <c r="A7" s="89" t="s">
        <v>2416</v>
      </c>
      <c r="B7">
        <v>1</v>
      </c>
    </row>
    <row r="8" spans="1:2">
      <c r="A8" s="89" t="s">
        <v>2393</v>
      </c>
      <c r="B8">
        <v>1</v>
      </c>
    </row>
    <row r="9" spans="1:2">
      <c r="A9" s="89" t="s">
        <v>2386</v>
      </c>
      <c r="B9">
        <v>2</v>
      </c>
    </row>
    <row r="10" spans="1:2">
      <c r="A10" s="89" t="s">
        <v>2405</v>
      </c>
      <c r="B10">
        <v>0</v>
      </c>
    </row>
    <row r="11" spans="1:2">
      <c r="A11" s="89" t="s">
        <v>2382</v>
      </c>
      <c r="B11">
        <v>1</v>
      </c>
    </row>
    <row r="12" spans="1:2">
      <c r="A12" s="89" t="s">
        <v>610</v>
      </c>
      <c r="B12">
        <v>0</v>
      </c>
    </row>
    <row r="13" spans="1:2">
      <c r="A13" s="89" t="s">
        <v>2427</v>
      </c>
      <c r="B13">
        <v>1</v>
      </c>
    </row>
    <row r="14" spans="1:2">
      <c r="A14" s="89" t="s">
        <v>228</v>
      </c>
      <c r="B14">
        <v>4</v>
      </c>
    </row>
    <row r="15" spans="1:2">
      <c r="A15" s="89" t="s">
        <v>1546</v>
      </c>
      <c r="B15">
        <v>0</v>
      </c>
    </row>
    <row r="16" spans="1:2">
      <c r="A16" s="89" t="s">
        <v>2473</v>
      </c>
    </row>
    <row r="17" spans="1:2">
      <c r="A17" s="89" t="s">
        <v>2474</v>
      </c>
      <c r="B17">
        <v>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4792C-5F1A-4312-B4F1-7AB9FC650A00}">
  <dimension ref="A1:E15"/>
  <sheetViews>
    <sheetView workbookViewId="0">
      <selection sqref="A1:E15"/>
    </sheetView>
  </sheetViews>
  <sheetFormatPr defaultColWidth="11.42578125" defaultRowHeight="14.45"/>
  <cols>
    <col min="1" max="1" width="25.28515625" bestFit="1" customWidth="1"/>
    <col min="2" max="2" width="14.28515625" bestFit="1" customWidth="1"/>
    <col min="3" max="3" width="13.5703125" bestFit="1" customWidth="1"/>
    <col min="4" max="4" width="17.42578125" bestFit="1" customWidth="1"/>
    <col min="5" max="5" width="12.5703125" bestFit="1" customWidth="1"/>
  </cols>
  <sheetData>
    <row r="1" spans="1:5">
      <c r="A1" t="s">
        <v>2475</v>
      </c>
      <c r="B1" t="s">
        <v>2</v>
      </c>
      <c r="C1" t="s">
        <v>2476</v>
      </c>
      <c r="D1" t="s">
        <v>2477</v>
      </c>
      <c r="E1" t="s">
        <v>2478</v>
      </c>
    </row>
    <row r="2" spans="1:5">
      <c r="A2" s="89" t="s">
        <v>2405</v>
      </c>
      <c r="B2">
        <v>51</v>
      </c>
      <c r="C2">
        <v>51</v>
      </c>
      <c r="D2" s="91">
        <f>(C2/B2)</f>
        <v>1</v>
      </c>
      <c r="E2">
        <f>VLOOKUP(A2,Total!$A$4:$B$25,2,FALSE)</f>
        <v>0</v>
      </c>
    </row>
    <row r="3" spans="1:5">
      <c r="A3" t="s">
        <v>284</v>
      </c>
      <c r="B3">
        <v>50</v>
      </c>
      <c r="C3">
        <v>50</v>
      </c>
      <c r="D3" s="91">
        <f>(C3/B3)</f>
        <v>1</v>
      </c>
      <c r="E3">
        <f>VLOOKUP(A3,Total!$A$4:$B$25,2,FALSE)</f>
        <v>0</v>
      </c>
    </row>
    <row r="4" spans="1:5">
      <c r="A4" t="s">
        <v>2427</v>
      </c>
      <c r="B4">
        <v>52</v>
      </c>
      <c r="C4">
        <v>52</v>
      </c>
      <c r="D4" s="91">
        <f>(C4/B4)</f>
        <v>1</v>
      </c>
      <c r="E4">
        <f>VLOOKUP(A4,Total!$A$4:$B$25,2,FALSE)</f>
        <v>1</v>
      </c>
    </row>
    <row r="5" spans="1:5">
      <c r="A5" t="s">
        <v>1779</v>
      </c>
      <c r="B5">
        <v>49</v>
      </c>
      <c r="C5">
        <v>41</v>
      </c>
      <c r="D5" s="91">
        <f>(C5/B5)</f>
        <v>0.83673469387755106</v>
      </c>
      <c r="E5">
        <f>VLOOKUP(A5,Total!$A$4:$B$25,2,FALSE)</f>
        <v>1</v>
      </c>
    </row>
    <row r="6" spans="1:5">
      <c r="A6" t="s">
        <v>1546</v>
      </c>
      <c r="B6">
        <v>50</v>
      </c>
      <c r="C6">
        <v>50</v>
      </c>
      <c r="D6" s="91">
        <f t="shared" ref="D6:D15" si="0">(C6/B6)</f>
        <v>1</v>
      </c>
      <c r="E6">
        <f>VLOOKUP(A6,Total!$A$4:$B$25,2,FALSE)</f>
        <v>0</v>
      </c>
    </row>
    <row r="7" spans="1:5">
      <c r="A7" t="s">
        <v>610</v>
      </c>
      <c r="B7">
        <v>49</v>
      </c>
      <c r="C7">
        <v>49</v>
      </c>
      <c r="D7" s="91">
        <f t="shared" si="0"/>
        <v>1</v>
      </c>
      <c r="E7">
        <f>VLOOKUP(A7,Total!$A$4:$B$25,2,FALSE)</f>
        <v>0</v>
      </c>
    </row>
    <row r="8" spans="1:5">
      <c r="A8" t="s">
        <v>2416</v>
      </c>
      <c r="B8">
        <v>49</v>
      </c>
      <c r="C8">
        <v>45</v>
      </c>
      <c r="D8" s="91">
        <f t="shared" si="0"/>
        <v>0.91836734693877553</v>
      </c>
      <c r="E8">
        <f>VLOOKUP(A8,Total!$A$4:$B$25,2,FALSE)</f>
        <v>1</v>
      </c>
    </row>
    <row r="9" spans="1:5">
      <c r="A9" t="s">
        <v>2386</v>
      </c>
      <c r="B9">
        <v>47</v>
      </c>
      <c r="C9">
        <v>47</v>
      </c>
      <c r="D9" s="91">
        <f t="shared" si="0"/>
        <v>1</v>
      </c>
      <c r="E9">
        <f>VLOOKUP(A9,Total!$A$4:$B$25,2,FALSE)</f>
        <v>2</v>
      </c>
    </row>
    <row r="10" spans="1:5">
      <c r="A10" t="s">
        <v>2479</v>
      </c>
      <c r="B10">
        <v>48</v>
      </c>
      <c r="C10">
        <v>48</v>
      </c>
      <c r="D10" s="91">
        <f t="shared" si="0"/>
        <v>1</v>
      </c>
      <c r="E10">
        <f>VLOOKUP(A10,Total!$A$4:$B$25,2,FALSE)</f>
        <v>1</v>
      </c>
    </row>
    <row r="11" spans="1:5">
      <c r="A11" t="s">
        <v>2397</v>
      </c>
      <c r="B11">
        <v>48</v>
      </c>
      <c r="C11">
        <v>48</v>
      </c>
      <c r="D11" s="91">
        <f t="shared" si="0"/>
        <v>1</v>
      </c>
      <c r="E11">
        <f>VLOOKUP(A11,Total!$A$4:$B$25,2,FALSE)</f>
        <v>1</v>
      </c>
    </row>
    <row r="12" spans="1:5">
      <c r="A12" t="s">
        <v>2480</v>
      </c>
      <c r="B12">
        <v>177</v>
      </c>
      <c r="C12">
        <v>177</v>
      </c>
      <c r="D12" s="91">
        <f t="shared" si="0"/>
        <v>1</v>
      </c>
      <c r="E12">
        <f>VLOOKUP(A12,Total!$A$4:$B$25,2,FALSE)</f>
        <v>6</v>
      </c>
    </row>
    <row r="13" spans="1:5">
      <c r="A13" t="s">
        <v>2481</v>
      </c>
      <c r="B13">
        <v>101</v>
      </c>
      <c r="C13">
        <v>101</v>
      </c>
      <c r="D13" s="91">
        <f t="shared" si="0"/>
        <v>1</v>
      </c>
      <c r="E13">
        <v>0</v>
      </c>
    </row>
    <row r="14" spans="1:5">
      <c r="A14" t="s">
        <v>228</v>
      </c>
      <c r="B14">
        <v>50</v>
      </c>
      <c r="C14">
        <v>50</v>
      </c>
      <c r="D14" s="91">
        <f t="shared" si="0"/>
        <v>1</v>
      </c>
      <c r="E14">
        <f>VLOOKUP(A14,Total!$A$4:$B$25,2,FALSE)</f>
        <v>4</v>
      </c>
    </row>
    <row r="15" spans="1:5">
      <c r="A15" t="s">
        <v>15</v>
      </c>
      <c r="B15">
        <f>SUM(B2:B14)</f>
        <v>821</v>
      </c>
      <c r="C15">
        <f>SUM(C2:C14)</f>
        <v>809</v>
      </c>
      <c r="D15" s="91">
        <f t="shared" si="0"/>
        <v>0.98538367844092567</v>
      </c>
      <c r="E15">
        <f>SUM(E2:E14)</f>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33AAF-8152-4920-BE2C-EFE230519310}">
  <dimension ref="A1:L8"/>
  <sheetViews>
    <sheetView workbookViewId="0">
      <selection activeCell="A2" sqref="A2"/>
    </sheetView>
  </sheetViews>
  <sheetFormatPr defaultColWidth="11.42578125" defaultRowHeight="14.45"/>
  <cols>
    <col min="2" max="2" width="22.5703125" bestFit="1" customWidth="1"/>
    <col min="3" max="3" width="21.42578125" bestFit="1" customWidth="1"/>
    <col min="4" max="4" width="19.85546875" bestFit="1" customWidth="1"/>
    <col min="7" max="7" width="16.28515625" bestFit="1" customWidth="1"/>
    <col min="8" max="8" width="15.42578125" bestFit="1" customWidth="1"/>
    <col min="9" max="9" width="16.42578125" bestFit="1" customWidth="1"/>
  </cols>
  <sheetData>
    <row r="1" spans="1:12">
      <c r="A1" s="54" t="s">
        <v>2482</v>
      </c>
      <c r="B1" s="54" t="s">
        <v>49</v>
      </c>
      <c r="C1" s="54" t="s">
        <v>2136</v>
      </c>
      <c r="D1" s="54" t="s">
        <v>2483</v>
      </c>
      <c r="E1" s="54" t="s">
        <v>14</v>
      </c>
      <c r="F1" s="54" t="s">
        <v>22</v>
      </c>
      <c r="G1" s="54" t="s">
        <v>37</v>
      </c>
      <c r="H1" s="54" t="s">
        <v>35</v>
      </c>
      <c r="I1" s="54" t="s">
        <v>2484</v>
      </c>
      <c r="J1" s="54" t="s">
        <v>42</v>
      </c>
      <c r="K1" s="54" t="s">
        <v>43</v>
      </c>
      <c r="L1" s="54" t="s">
        <v>46</v>
      </c>
    </row>
    <row r="2" spans="1:12">
      <c r="A2" t="s">
        <v>49</v>
      </c>
      <c r="B2" t="s">
        <v>50</v>
      </c>
      <c r="C2" t="s">
        <v>2386</v>
      </c>
      <c r="D2" t="s">
        <v>737</v>
      </c>
      <c r="E2" t="s">
        <v>18</v>
      </c>
      <c r="F2" t="s">
        <v>618</v>
      </c>
      <c r="G2" t="s">
        <v>55</v>
      </c>
      <c r="H2" t="s">
        <v>53</v>
      </c>
      <c r="I2" t="s">
        <v>54</v>
      </c>
      <c r="J2" t="s">
        <v>82</v>
      </c>
      <c r="K2" t="s">
        <v>19</v>
      </c>
      <c r="L2" t="s">
        <v>768</v>
      </c>
    </row>
    <row r="3" spans="1:12">
      <c r="A3" t="s">
        <v>2136</v>
      </c>
      <c r="B3" t="s">
        <v>284</v>
      </c>
      <c r="C3" t="s">
        <v>2382</v>
      </c>
      <c r="D3" t="s">
        <v>2485</v>
      </c>
      <c r="E3" t="s">
        <v>19</v>
      </c>
      <c r="F3" t="s">
        <v>1138</v>
      </c>
      <c r="G3" t="s">
        <v>2412</v>
      </c>
      <c r="H3" t="s">
        <v>612</v>
      </c>
      <c r="I3" t="s">
        <v>287</v>
      </c>
      <c r="J3" t="s">
        <v>89</v>
      </c>
      <c r="K3" t="s">
        <v>21</v>
      </c>
      <c r="L3" t="s">
        <v>743</v>
      </c>
    </row>
    <row r="4" spans="1:12">
      <c r="A4" t="s">
        <v>2483</v>
      </c>
      <c r="B4" t="s">
        <v>2427</v>
      </c>
      <c r="C4" t="s">
        <v>2486</v>
      </c>
      <c r="D4" t="s">
        <v>2487</v>
      </c>
      <c r="E4" t="s">
        <v>21</v>
      </c>
      <c r="F4" t="s">
        <v>611</v>
      </c>
      <c r="G4" t="s">
        <v>288</v>
      </c>
      <c r="H4" t="s">
        <v>286</v>
      </c>
      <c r="I4" t="s">
        <v>466</v>
      </c>
      <c r="J4" t="s">
        <v>59</v>
      </c>
      <c r="K4" t="s">
        <v>26</v>
      </c>
      <c r="L4" t="s">
        <v>61</v>
      </c>
    </row>
    <row r="5" spans="1:12">
      <c r="B5" t="s">
        <v>1779</v>
      </c>
      <c r="D5" t="s">
        <v>1242</v>
      </c>
      <c r="E5" t="s">
        <v>26</v>
      </c>
      <c r="F5" t="s">
        <v>51</v>
      </c>
      <c r="G5" t="s">
        <v>741</v>
      </c>
      <c r="H5" t="s">
        <v>465</v>
      </c>
      <c r="L5" t="s">
        <v>2488</v>
      </c>
    </row>
    <row r="6" spans="1:12">
      <c r="B6" t="s">
        <v>1546</v>
      </c>
      <c r="F6" t="s">
        <v>2489</v>
      </c>
      <c r="G6" t="s">
        <v>2404</v>
      </c>
      <c r="H6" t="s">
        <v>740</v>
      </c>
    </row>
    <row r="7" spans="1:12">
      <c r="B7" t="s">
        <v>610</v>
      </c>
      <c r="H7" t="s">
        <v>2490</v>
      </c>
    </row>
    <row r="8" spans="1:12">
      <c r="B8" t="s">
        <v>463</v>
      </c>
    </row>
  </sheetData>
  <dataValidations count="1">
    <dataValidation type="list" allowBlank="1" showInputMessage="1" showErrorMessage="1" promptTitle="CatResponsableQA" sqref="H2:H5" xr:uid="{00730504-3D03-4486-B6B5-6108CCAAD903}">
      <formula1>$H$2:$H$5</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3"/>
  <sheetViews>
    <sheetView showGridLines="0" topLeftCell="A8" workbookViewId="0">
      <selection activeCell="A19" sqref="A19:A23"/>
    </sheetView>
  </sheetViews>
  <sheetFormatPr defaultColWidth="9.140625" defaultRowHeight="14.45"/>
  <cols>
    <col min="1" max="1" width="22" customWidth="1"/>
    <col min="2" max="2" width="50" customWidth="1"/>
    <col min="3" max="5" width="18" customWidth="1"/>
  </cols>
  <sheetData>
    <row r="1" spans="1:5" ht="36" customHeight="1">
      <c r="A1" s="144" t="s">
        <v>2491</v>
      </c>
      <c r="B1" s="149"/>
      <c r="C1" s="149"/>
      <c r="D1" s="149"/>
      <c r="E1" s="149"/>
    </row>
    <row r="3" spans="1:5" ht="24" customHeight="1">
      <c r="A3" s="42" t="s">
        <v>2492</v>
      </c>
      <c r="B3" s="42" t="s">
        <v>2493</v>
      </c>
      <c r="C3" s="42" t="s">
        <v>2494</v>
      </c>
    </row>
    <row r="4" spans="1:5" ht="24" customHeight="1">
      <c r="A4" s="44" t="s">
        <v>28</v>
      </c>
      <c r="B4" s="44" t="s">
        <v>2495</v>
      </c>
      <c r="C4" s="44" t="s">
        <v>2496</v>
      </c>
    </row>
    <row r="5" spans="1:5" ht="24" customHeight="1">
      <c r="A5" s="43" t="s">
        <v>29</v>
      </c>
      <c r="B5" s="43" t="s">
        <v>2497</v>
      </c>
      <c r="C5" s="43" t="s">
        <v>2498</v>
      </c>
    </row>
    <row r="6" spans="1:5" ht="24" customHeight="1">
      <c r="A6" s="44" t="s">
        <v>30</v>
      </c>
      <c r="B6" s="44" t="s">
        <v>2499</v>
      </c>
      <c r="C6" s="44" t="s">
        <v>2500</v>
      </c>
    </row>
    <row r="7" spans="1:5" ht="24" customHeight="1">
      <c r="A7" s="43" t="s">
        <v>31</v>
      </c>
      <c r="B7" s="43" t="s">
        <v>2501</v>
      </c>
      <c r="C7" s="43" t="s">
        <v>2502</v>
      </c>
    </row>
    <row r="8" spans="1:5" ht="24" customHeight="1">
      <c r="A8" s="44" t="s">
        <v>14</v>
      </c>
      <c r="B8" s="44" t="s">
        <v>2503</v>
      </c>
      <c r="C8" s="44" t="s">
        <v>2504</v>
      </c>
    </row>
    <row r="9" spans="1:5" ht="24" customHeight="1">
      <c r="A9" s="43" t="s">
        <v>22</v>
      </c>
      <c r="B9" s="43" t="s">
        <v>2505</v>
      </c>
      <c r="C9" s="43" t="s">
        <v>2506</v>
      </c>
    </row>
    <row r="10" spans="1:5" ht="24" customHeight="1">
      <c r="A10" s="44" t="s">
        <v>32</v>
      </c>
      <c r="B10" s="44" t="s">
        <v>2507</v>
      </c>
      <c r="C10" s="44" t="s">
        <v>2498</v>
      </c>
    </row>
    <row r="11" spans="1:5" ht="24" customHeight="1">
      <c r="A11" s="43" t="s">
        <v>33</v>
      </c>
      <c r="B11" s="43" t="s">
        <v>2508</v>
      </c>
      <c r="C11" s="43" t="s">
        <v>2498</v>
      </c>
    </row>
    <row r="12" spans="1:5" ht="24" customHeight="1">
      <c r="A12" s="44" t="s">
        <v>2509</v>
      </c>
      <c r="B12" s="44" t="s">
        <v>2510</v>
      </c>
      <c r="C12" s="44" t="s">
        <v>2511</v>
      </c>
    </row>
    <row r="13" spans="1:5" ht="24" customHeight="1">
      <c r="A13" s="43" t="s">
        <v>35</v>
      </c>
      <c r="B13" s="43" t="s">
        <v>2512</v>
      </c>
      <c r="C13" s="43" t="s">
        <v>2513</v>
      </c>
    </row>
    <row r="14" spans="1:5" ht="24" customHeight="1">
      <c r="A14" s="44" t="s">
        <v>36</v>
      </c>
      <c r="B14" s="44" t="s">
        <v>2514</v>
      </c>
      <c r="C14" s="44" t="s">
        <v>2515</v>
      </c>
    </row>
    <row r="15" spans="1:5" ht="24" customHeight="1">
      <c r="A15" s="55"/>
      <c r="B15" s="55"/>
      <c r="C15" s="55"/>
    </row>
    <row r="18" spans="1:2" ht="21.95" customHeight="1">
      <c r="A18" s="143" t="s">
        <v>2516</v>
      </c>
      <c r="B18" s="143"/>
    </row>
    <row r="19" spans="1:2" ht="21.95" customHeight="1">
      <c r="A19" s="146" t="s">
        <v>51</v>
      </c>
      <c r="B19" s="45" t="s">
        <v>2517</v>
      </c>
    </row>
    <row r="20" spans="1:2" ht="21.95" customHeight="1">
      <c r="A20" s="147" t="s">
        <v>611</v>
      </c>
      <c r="B20" s="46" t="s">
        <v>2518</v>
      </c>
    </row>
    <row r="21" spans="1:2" ht="21.95" customHeight="1">
      <c r="A21" s="145" t="s">
        <v>618</v>
      </c>
      <c r="B21" s="47" t="s">
        <v>2519</v>
      </c>
    </row>
    <row r="22" spans="1:2" ht="21.95" customHeight="1">
      <c r="A22" s="142" t="s">
        <v>1138</v>
      </c>
      <c r="B22" s="48" t="s">
        <v>2520</v>
      </c>
    </row>
    <row r="23" spans="1:2" ht="21.95" customHeight="1">
      <c r="A23" s="141" t="s">
        <v>2489</v>
      </c>
      <c r="B23" s="49" t="s">
        <v>2521</v>
      </c>
    </row>
  </sheetData>
  <mergeCells count="7">
    <mergeCell ref="A23"/>
    <mergeCell ref="A22"/>
    <mergeCell ref="A18:B18"/>
    <mergeCell ref="A1:E1"/>
    <mergeCell ref="A21"/>
    <mergeCell ref="A19"/>
    <mergeCell ref="A20"/>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EAC1-F8E7-44CF-82F7-BC1A303EA91B}">
  <sheetPr filterMode="1"/>
  <dimension ref="A1:K317"/>
  <sheetViews>
    <sheetView topLeftCell="F1" workbookViewId="0">
      <pane ySplit="1" topLeftCell="A307" activePane="bottomLeft" state="frozen"/>
      <selection pane="bottomLeft" activeCell="A201" sqref="A201:K317"/>
      <selection activeCell="B1" sqref="B1"/>
    </sheetView>
  </sheetViews>
  <sheetFormatPr defaultColWidth="11.42578125" defaultRowHeight="14.45"/>
  <cols>
    <col min="1" max="1" width="173.42578125" customWidth="1"/>
    <col min="2" max="2" width="10.7109375" customWidth="1"/>
    <col min="3" max="3" width="12.5703125" bestFit="1" customWidth="1"/>
    <col min="4" max="4" width="20.28515625" bestFit="1" customWidth="1"/>
    <col min="5" max="5" width="27" bestFit="1" customWidth="1"/>
    <col min="6" max="6" width="14.85546875" style="85" bestFit="1" customWidth="1"/>
    <col min="7" max="7" width="14.42578125" style="85" bestFit="1" customWidth="1"/>
    <col min="8" max="8" width="14.28515625" bestFit="1" customWidth="1"/>
    <col min="9" max="9" width="88.140625" bestFit="1" customWidth="1"/>
    <col min="10" max="10" width="12.7109375" bestFit="1" customWidth="1"/>
    <col min="11" max="11" width="13.28515625" bestFit="1" customWidth="1"/>
  </cols>
  <sheetData>
    <row r="1" spans="1:11" ht="14.1" customHeight="1">
      <c r="A1" s="70" t="s">
        <v>2370</v>
      </c>
      <c r="B1" s="70" t="s">
        <v>2371</v>
      </c>
      <c r="C1" s="70" t="s">
        <v>2372</v>
      </c>
      <c r="D1" s="70" t="s">
        <v>2482</v>
      </c>
      <c r="E1" s="70" t="s">
        <v>2373</v>
      </c>
      <c r="F1" s="110" t="s">
        <v>2374</v>
      </c>
      <c r="G1" s="110" t="s">
        <v>2375</v>
      </c>
      <c r="H1" s="70" t="s">
        <v>2376</v>
      </c>
      <c r="I1" s="70" t="s">
        <v>2377</v>
      </c>
      <c r="J1" s="70" t="s">
        <v>2378</v>
      </c>
      <c r="K1" s="70" t="s">
        <v>2379</v>
      </c>
    </row>
    <row r="2" spans="1:11" ht="29.1" hidden="1">
      <c r="A2" s="69" t="s">
        <v>2522</v>
      </c>
      <c r="B2" t="s">
        <v>59</v>
      </c>
      <c r="C2" t="s">
        <v>2381</v>
      </c>
      <c r="D2" t="s">
        <v>2487</v>
      </c>
      <c r="E2" t="s">
        <v>2523</v>
      </c>
      <c r="F2" s="66" t="s">
        <v>2383</v>
      </c>
      <c r="G2" s="66" t="s">
        <v>2383</v>
      </c>
      <c r="H2" s="93" t="s">
        <v>2383</v>
      </c>
      <c r="I2" t="s">
        <v>2524</v>
      </c>
    </row>
    <row r="3" spans="1:11" hidden="1">
      <c r="A3" s="69" t="s">
        <v>2525</v>
      </c>
      <c r="B3" t="s">
        <v>59</v>
      </c>
      <c r="C3" t="s">
        <v>2381</v>
      </c>
      <c r="D3" t="s">
        <v>2487</v>
      </c>
      <c r="E3" t="s">
        <v>2523</v>
      </c>
      <c r="F3" s="66" t="s">
        <v>2383</v>
      </c>
      <c r="G3" s="66" t="s">
        <v>2383</v>
      </c>
      <c r="H3" s="93" t="s">
        <v>2383</v>
      </c>
      <c r="I3" t="s">
        <v>2524</v>
      </c>
    </row>
    <row r="4" spans="1:11" hidden="1">
      <c r="A4" s="74" t="s">
        <v>2526</v>
      </c>
      <c r="B4" s="75" t="s">
        <v>59</v>
      </c>
      <c r="C4" s="75" t="s">
        <v>741</v>
      </c>
      <c r="D4" s="75" t="s">
        <v>2483</v>
      </c>
      <c r="E4" s="75" t="s">
        <v>2527</v>
      </c>
      <c r="F4" s="95" t="s">
        <v>2383</v>
      </c>
      <c r="G4" s="95" t="s">
        <v>2383</v>
      </c>
      <c r="H4" s="96" t="s">
        <v>2383</v>
      </c>
      <c r="I4" t="s">
        <v>2524</v>
      </c>
    </row>
    <row r="5" spans="1:11" hidden="1">
      <c r="A5" s="69" t="s">
        <v>2528</v>
      </c>
      <c r="B5" t="s">
        <v>59</v>
      </c>
      <c r="C5" t="s">
        <v>2381</v>
      </c>
      <c r="D5" t="s">
        <v>2483</v>
      </c>
      <c r="E5" t="s">
        <v>2527</v>
      </c>
      <c r="F5" s="66" t="s">
        <v>2383</v>
      </c>
      <c r="G5" s="66" t="s">
        <v>2383</v>
      </c>
      <c r="H5" s="93" t="s">
        <v>2383</v>
      </c>
      <c r="I5" t="s">
        <v>2524</v>
      </c>
    </row>
    <row r="6" spans="1:11" hidden="1">
      <c r="A6" s="69" t="s">
        <v>2529</v>
      </c>
      <c r="B6" t="s">
        <v>59</v>
      </c>
      <c r="C6" t="s">
        <v>2381</v>
      </c>
      <c r="D6" t="s">
        <v>2483</v>
      </c>
      <c r="E6" t="s">
        <v>2527</v>
      </c>
      <c r="F6" s="66" t="s">
        <v>2383</v>
      </c>
      <c r="G6" s="66" t="s">
        <v>2383</v>
      </c>
      <c r="H6" s="93" t="s">
        <v>2383</v>
      </c>
      <c r="I6" t="s">
        <v>2524</v>
      </c>
    </row>
    <row r="7" spans="1:11" ht="29.1" hidden="1">
      <c r="A7" s="69" t="s">
        <v>2530</v>
      </c>
      <c r="B7" t="s">
        <v>59</v>
      </c>
      <c r="C7" t="s">
        <v>2381</v>
      </c>
      <c r="D7" t="s">
        <v>2480</v>
      </c>
      <c r="E7" t="s">
        <v>2480</v>
      </c>
      <c r="F7" s="66" t="s">
        <v>2383</v>
      </c>
      <c r="G7" s="66" t="s">
        <v>2383</v>
      </c>
      <c r="H7" s="93" t="s">
        <v>2383</v>
      </c>
      <c r="I7" t="s">
        <v>2524</v>
      </c>
    </row>
    <row r="8" spans="1:11" hidden="1">
      <c r="A8" s="69" t="s">
        <v>2531</v>
      </c>
      <c r="B8" t="s">
        <v>59</v>
      </c>
      <c r="C8" t="s">
        <v>2381</v>
      </c>
      <c r="D8" t="s">
        <v>2483</v>
      </c>
      <c r="E8" t="s">
        <v>2480</v>
      </c>
      <c r="F8" s="66" t="s">
        <v>2383</v>
      </c>
      <c r="G8" s="66" t="s">
        <v>2383</v>
      </c>
      <c r="H8" s="93" t="s">
        <v>2383</v>
      </c>
      <c r="I8" t="s">
        <v>2524</v>
      </c>
    </row>
    <row r="9" spans="1:11" hidden="1">
      <c r="A9" s="69" t="s">
        <v>2532</v>
      </c>
      <c r="B9" t="s">
        <v>59</v>
      </c>
      <c r="C9" t="s">
        <v>2381</v>
      </c>
      <c r="D9" t="s">
        <v>2483</v>
      </c>
      <c r="E9" t="s">
        <v>2480</v>
      </c>
      <c r="F9" s="66" t="s">
        <v>2383</v>
      </c>
      <c r="G9" s="66" t="s">
        <v>2383</v>
      </c>
      <c r="H9" s="93" t="s">
        <v>2383</v>
      </c>
      <c r="I9" t="s">
        <v>2524</v>
      </c>
    </row>
    <row r="10" spans="1:11" hidden="1">
      <c r="A10" s="76" t="s">
        <v>2533</v>
      </c>
      <c r="B10" t="s">
        <v>82</v>
      </c>
      <c r="C10" t="s">
        <v>741</v>
      </c>
      <c r="D10" t="s">
        <v>2483</v>
      </c>
      <c r="E10" t="s">
        <v>2480</v>
      </c>
      <c r="F10" s="66" t="s">
        <v>2383</v>
      </c>
      <c r="G10" s="66" t="s">
        <v>2383</v>
      </c>
      <c r="H10" s="93" t="s">
        <v>2383</v>
      </c>
      <c r="I10" t="s">
        <v>2524</v>
      </c>
    </row>
    <row r="11" spans="1:11" hidden="1">
      <c r="A11" s="69" t="s">
        <v>2534</v>
      </c>
      <c r="B11" t="s">
        <v>59</v>
      </c>
      <c r="C11" t="s">
        <v>2381</v>
      </c>
      <c r="D11" t="s">
        <v>2483</v>
      </c>
      <c r="E11" t="s">
        <v>2535</v>
      </c>
      <c r="F11" s="66" t="s">
        <v>2383</v>
      </c>
      <c r="G11" s="66" t="s">
        <v>2383</v>
      </c>
      <c r="H11" s="93" t="s">
        <v>2383</v>
      </c>
      <c r="I11" t="s">
        <v>2524</v>
      </c>
    </row>
    <row r="12" spans="1:11" hidden="1">
      <c r="A12" s="69" t="s">
        <v>2529</v>
      </c>
      <c r="B12" t="s">
        <v>59</v>
      </c>
      <c r="C12" t="s">
        <v>2381</v>
      </c>
      <c r="D12" t="s">
        <v>2483</v>
      </c>
      <c r="E12" t="s">
        <v>2535</v>
      </c>
      <c r="F12" s="66" t="s">
        <v>2383</v>
      </c>
      <c r="G12" s="66" t="s">
        <v>2383</v>
      </c>
      <c r="H12" s="93" t="s">
        <v>2383</v>
      </c>
      <c r="I12" t="s">
        <v>2524</v>
      </c>
    </row>
    <row r="13" spans="1:11" hidden="1">
      <c r="A13" s="69" t="s">
        <v>2528</v>
      </c>
      <c r="B13" t="s">
        <v>59</v>
      </c>
      <c r="C13" t="s">
        <v>2381</v>
      </c>
      <c r="D13" t="s">
        <v>2483</v>
      </c>
      <c r="E13" t="s">
        <v>2535</v>
      </c>
      <c r="F13" s="66" t="s">
        <v>2383</v>
      </c>
      <c r="G13" s="66" t="s">
        <v>2383</v>
      </c>
      <c r="H13" s="93" t="s">
        <v>2383</v>
      </c>
      <c r="I13" t="s">
        <v>2524</v>
      </c>
    </row>
    <row r="14" spans="1:11" hidden="1">
      <c r="A14" s="69" t="s">
        <v>2536</v>
      </c>
      <c r="B14" t="s">
        <v>59</v>
      </c>
      <c r="C14" t="s">
        <v>2412</v>
      </c>
      <c r="D14" t="s">
        <v>2136</v>
      </c>
      <c r="E14" t="s">
        <v>2397</v>
      </c>
      <c r="F14" s="66" t="s">
        <v>2383</v>
      </c>
      <c r="G14" s="66" t="s">
        <v>2383</v>
      </c>
      <c r="H14" s="93" t="s">
        <v>2383</v>
      </c>
      <c r="I14" t="s">
        <v>2524</v>
      </c>
    </row>
    <row r="15" spans="1:11" ht="57.95" hidden="1">
      <c r="A15" s="69" t="s">
        <v>2537</v>
      </c>
      <c r="B15" t="s">
        <v>59</v>
      </c>
      <c r="C15" t="s">
        <v>2381</v>
      </c>
      <c r="D15" t="s">
        <v>2483</v>
      </c>
      <c r="E15" t="s">
        <v>2481</v>
      </c>
      <c r="F15" s="66" t="s">
        <v>2383</v>
      </c>
      <c r="G15" s="66" t="s">
        <v>2383</v>
      </c>
      <c r="H15" s="93" t="s">
        <v>2383</v>
      </c>
      <c r="I15" t="s">
        <v>2524</v>
      </c>
    </row>
    <row r="16" spans="1:11" ht="43.5" hidden="1">
      <c r="A16" s="69" t="s">
        <v>2538</v>
      </c>
      <c r="B16" t="s">
        <v>82</v>
      </c>
      <c r="C16" t="s">
        <v>2388</v>
      </c>
      <c r="D16" t="s">
        <v>49</v>
      </c>
      <c r="E16" t="s">
        <v>2416</v>
      </c>
      <c r="F16" s="66" t="s">
        <v>2383</v>
      </c>
      <c r="G16" s="66" t="s">
        <v>2383</v>
      </c>
      <c r="H16" s="94" t="s">
        <v>2383</v>
      </c>
    </row>
    <row r="17" spans="1:9" hidden="1">
      <c r="A17" s="69" t="s">
        <v>2539</v>
      </c>
      <c r="B17" t="s">
        <v>89</v>
      </c>
      <c r="C17" t="s">
        <v>288</v>
      </c>
      <c r="D17" t="s">
        <v>49</v>
      </c>
      <c r="E17" t="s">
        <v>2416</v>
      </c>
      <c r="F17" s="66" t="s">
        <v>2383</v>
      </c>
      <c r="G17" s="66" t="s">
        <v>2383</v>
      </c>
      <c r="H17" s="93" t="s">
        <v>2383</v>
      </c>
      <c r="I17" t="s">
        <v>2524</v>
      </c>
    </row>
    <row r="18" spans="1:9" hidden="1">
      <c r="A18" s="69" t="s">
        <v>2540</v>
      </c>
      <c r="B18" t="s">
        <v>89</v>
      </c>
      <c r="C18" t="s">
        <v>288</v>
      </c>
      <c r="D18" t="s">
        <v>49</v>
      </c>
      <c r="E18" t="s">
        <v>2416</v>
      </c>
      <c r="F18" s="66" t="s">
        <v>2383</v>
      </c>
      <c r="G18" s="66" t="s">
        <v>2383</v>
      </c>
      <c r="H18" s="93" t="s">
        <v>2383</v>
      </c>
      <c r="I18" t="s">
        <v>2541</v>
      </c>
    </row>
    <row r="19" spans="1:9" hidden="1">
      <c r="A19" s="69" t="s">
        <v>2542</v>
      </c>
      <c r="B19" t="s">
        <v>59</v>
      </c>
      <c r="C19" t="s">
        <v>2412</v>
      </c>
      <c r="D19" t="s">
        <v>49</v>
      </c>
      <c r="E19" t="s">
        <v>1779</v>
      </c>
      <c r="F19" s="66" t="s">
        <v>2383</v>
      </c>
      <c r="G19" s="66" t="s">
        <v>2383</v>
      </c>
      <c r="H19" s="93" t="s">
        <v>2383</v>
      </c>
      <c r="I19" t="s">
        <v>2541</v>
      </c>
    </row>
    <row r="20" spans="1:9" hidden="1">
      <c r="A20" s="69" t="s">
        <v>2543</v>
      </c>
      <c r="B20" t="s">
        <v>59</v>
      </c>
      <c r="C20" t="s">
        <v>2412</v>
      </c>
      <c r="D20" t="s">
        <v>49</v>
      </c>
      <c r="E20" t="s">
        <v>1779</v>
      </c>
      <c r="F20" s="66" t="s">
        <v>2383</v>
      </c>
      <c r="G20" s="66" t="s">
        <v>2383</v>
      </c>
      <c r="H20" s="93" t="s">
        <v>2383</v>
      </c>
      <c r="I20" t="s">
        <v>2544</v>
      </c>
    </row>
    <row r="21" spans="1:9" hidden="1">
      <c r="A21" s="69" t="s">
        <v>2545</v>
      </c>
      <c r="B21" t="s">
        <v>89</v>
      </c>
      <c r="C21" t="s">
        <v>288</v>
      </c>
      <c r="D21" t="s">
        <v>49</v>
      </c>
      <c r="E21" t="s">
        <v>2416</v>
      </c>
      <c r="F21" s="66" t="s">
        <v>2383</v>
      </c>
      <c r="G21" s="66" t="s">
        <v>2383</v>
      </c>
      <c r="H21" s="93" t="s">
        <v>2383</v>
      </c>
      <c r="I21" t="s">
        <v>2541</v>
      </c>
    </row>
    <row r="22" spans="1:9" hidden="1">
      <c r="A22" s="69" t="s">
        <v>2546</v>
      </c>
      <c r="B22" t="s">
        <v>89</v>
      </c>
      <c r="C22" t="s">
        <v>288</v>
      </c>
      <c r="D22" t="s">
        <v>49</v>
      </c>
      <c r="E22" t="s">
        <v>2416</v>
      </c>
      <c r="F22" s="66" t="s">
        <v>2383</v>
      </c>
      <c r="G22" s="66" t="s">
        <v>2383</v>
      </c>
      <c r="H22" s="93" t="s">
        <v>2383</v>
      </c>
      <c r="I22" t="s">
        <v>2541</v>
      </c>
    </row>
    <row r="23" spans="1:9" hidden="1">
      <c r="A23" s="69" t="s">
        <v>2547</v>
      </c>
      <c r="B23" t="s">
        <v>89</v>
      </c>
      <c r="C23" t="s">
        <v>288</v>
      </c>
      <c r="D23" t="s">
        <v>49</v>
      </c>
      <c r="E23" t="s">
        <v>1779</v>
      </c>
      <c r="F23" s="66" t="s">
        <v>2383</v>
      </c>
      <c r="G23" s="66" t="s">
        <v>2383</v>
      </c>
      <c r="H23" s="93" t="s">
        <v>2383</v>
      </c>
      <c r="I23" t="s">
        <v>2548</v>
      </c>
    </row>
    <row r="24" spans="1:9" hidden="1">
      <c r="A24" s="69" t="s">
        <v>2549</v>
      </c>
      <c r="B24" t="s">
        <v>89</v>
      </c>
      <c r="C24" t="s">
        <v>288</v>
      </c>
      <c r="D24" t="s">
        <v>49</v>
      </c>
      <c r="E24" t="s">
        <v>1779</v>
      </c>
      <c r="F24" s="66" t="s">
        <v>2383</v>
      </c>
      <c r="G24" s="66" t="s">
        <v>2383</v>
      </c>
      <c r="H24" s="93" t="s">
        <v>2383</v>
      </c>
      <c r="I24" t="s">
        <v>2541</v>
      </c>
    </row>
    <row r="25" spans="1:9" hidden="1">
      <c r="A25" s="69" t="s">
        <v>2550</v>
      </c>
      <c r="B25" t="s">
        <v>89</v>
      </c>
      <c r="C25" t="s">
        <v>288</v>
      </c>
      <c r="D25" t="s">
        <v>49</v>
      </c>
      <c r="E25" t="s">
        <v>1779</v>
      </c>
      <c r="F25" s="66" t="s">
        <v>2383</v>
      </c>
      <c r="G25" s="66" t="s">
        <v>2383</v>
      </c>
      <c r="H25" s="93" t="s">
        <v>2383</v>
      </c>
      <c r="I25" t="s">
        <v>2541</v>
      </c>
    </row>
    <row r="26" spans="1:9" hidden="1">
      <c r="A26" s="69" t="s">
        <v>2551</v>
      </c>
      <c r="B26" t="s">
        <v>89</v>
      </c>
      <c r="C26" t="s">
        <v>288</v>
      </c>
      <c r="D26" t="s">
        <v>49</v>
      </c>
      <c r="E26" t="s">
        <v>1779</v>
      </c>
      <c r="F26" s="66" t="s">
        <v>2383</v>
      </c>
      <c r="G26" s="66" t="s">
        <v>2383</v>
      </c>
      <c r="H26" s="93" t="s">
        <v>2383</v>
      </c>
      <c r="I26" t="s">
        <v>2548</v>
      </c>
    </row>
    <row r="27" spans="1:9" hidden="1">
      <c r="A27" s="69" t="s">
        <v>2552</v>
      </c>
      <c r="B27" t="s">
        <v>59</v>
      </c>
      <c r="C27" t="s">
        <v>2412</v>
      </c>
      <c r="D27" t="s">
        <v>2136</v>
      </c>
      <c r="E27" t="s">
        <v>2386</v>
      </c>
      <c r="F27" s="66" t="s">
        <v>2383</v>
      </c>
      <c r="G27" s="66" t="s">
        <v>2383</v>
      </c>
      <c r="H27" s="93" t="s">
        <v>2383</v>
      </c>
      <c r="I27" t="s">
        <v>2548</v>
      </c>
    </row>
    <row r="28" spans="1:9" hidden="1">
      <c r="A28" s="69" t="s">
        <v>2553</v>
      </c>
      <c r="B28" t="s">
        <v>89</v>
      </c>
      <c r="C28" t="s">
        <v>2388</v>
      </c>
      <c r="D28" t="s">
        <v>2136</v>
      </c>
      <c r="E28" t="s">
        <v>2386</v>
      </c>
      <c r="F28" s="66" t="s">
        <v>2383</v>
      </c>
      <c r="G28" s="66" t="s">
        <v>2383</v>
      </c>
      <c r="H28" s="93" t="s">
        <v>2383</v>
      </c>
      <c r="I28" t="s">
        <v>2548</v>
      </c>
    </row>
    <row r="29" spans="1:9" hidden="1">
      <c r="A29" s="69" t="s">
        <v>2554</v>
      </c>
      <c r="B29" t="s">
        <v>82</v>
      </c>
      <c r="C29" t="s">
        <v>2388</v>
      </c>
      <c r="D29" t="s">
        <v>2136</v>
      </c>
      <c r="E29" t="s">
        <v>2386</v>
      </c>
      <c r="F29" s="66" t="s">
        <v>2383</v>
      </c>
      <c r="G29" s="66" t="s">
        <v>2383</v>
      </c>
      <c r="H29" s="93" t="s">
        <v>2383</v>
      </c>
      <c r="I29" t="s">
        <v>2548</v>
      </c>
    </row>
    <row r="30" spans="1:9" hidden="1">
      <c r="A30" s="77" t="s">
        <v>2555</v>
      </c>
      <c r="B30" t="s">
        <v>82</v>
      </c>
      <c r="C30" t="s">
        <v>2388</v>
      </c>
      <c r="D30" t="s">
        <v>2136</v>
      </c>
      <c r="E30" t="s">
        <v>2386</v>
      </c>
      <c r="F30" s="66" t="s">
        <v>2383</v>
      </c>
      <c r="G30" s="66" t="s">
        <v>2383</v>
      </c>
      <c r="H30" s="93" t="s">
        <v>2383</v>
      </c>
      <c r="I30" t="s">
        <v>2548</v>
      </c>
    </row>
    <row r="31" spans="1:9" hidden="1">
      <c r="A31" s="76" t="s">
        <v>2556</v>
      </c>
      <c r="B31" t="s">
        <v>82</v>
      </c>
      <c r="C31" t="s">
        <v>2388</v>
      </c>
      <c r="D31" t="s">
        <v>2136</v>
      </c>
      <c r="E31" t="s">
        <v>2386</v>
      </c>
      <c r="F31" s="66" t="s">
        <v>2383</v>
      </c>
      <c r="G31" s="66" t="s">
        <v>2383</v>
      </c>
      <c r="H31" s="93" t="s">
        <v>2383</v>
      </c>
    </row>
    <row r="32" spans="1:9" hidden="1">
      <c r="A32" s="77" t="s">
        <v>2557</v>
      </c>
      <c r="B32" t="s">
        <v>82</v>
      </c>
      <c r="C32" t="s">
        <v>2388</v>
      </c>
      <c r="D32" t="s">
        <v>2136</v>
      </c>
      <c r="E32" t="s">
        <v>2386</v>
      </c>
      <c r="F32" s="66" t="s">
        <v>2383</v>
      </c>
      <c r="G32" s="66" t="s">
        <v>2383</v>
      </c>
      <c r="H32" s="93" t="s">
        <v>2383</v>
      </c>
    </row>
    <row r="33" spans="1:9" ht="72.599999999999994" hidden="1">
      <c r="A33" s="69" t="s">
        <v>2558</v>
      </c>
      <c r="B33" t="s">
        <v>82</v>
      </c>
      <c r="C33" t="s">
        <v>288</v>
      </c>
      <c r="D33" t="s">
        <v>2136</v>
      </c>
      <c r="E33" t="s">
        <v>2386</v>
      </c>
      <c r="F33" s="66" t="s">
        <v>2383</v>
      </c>
      <c r="G33" s="66" t="s">
        <v>2383</v>
      </c>
      <c r="H33" s="94" t="s">
        <v>2383</v>
      </c>
      <c r="I33" t="s">
        <v>2559</v>
      </c>
    </row>
    <row r="34" spans="1:9" ht="43.5" hidden="1">
      <c r="A34" s="69" t="s">
        <v>2560</v>
      </c>
      <c r="B34" t="s">
        <v>59</v>
      </c>
      <c r="C34" t="s">
        <v>2412</v>
      </c>
      <c r="D34" t="s">
        <v>49</v>
      </c>
      <c r="E34" t="s">
        <v>49</v>
      </c>
      <c r="F34" s="66" t="s">
        <v>2383</v>
      </c>
      <c r="G34" s="66" t="s">
        <v>2383</v>
      </c>
      <c r="H34" s="93" t="s">
        <v>2383</v>
      </c>
      <c r="I34" t="s">
        <v>2548</v>
      </c>
    </row>
    <row r="35" spans="1:9" ht="116.1" hidden="1">
      <c r="A35" s="80" t="s">
        <v>2561</v>
      </c>
      <c r="B35" s="81" t="s">
        <v>59</v>
      </c>
      <c r="C35" s="81" t="s">
        <v>2412</v>
      </c>
      <c r="D35" s="81" t="s">
        <v>49</v>
      </c>
      <c r="E35" s="81" t="s">
        <v>49</v>
      </c>
      <c r="F35" s="97" t="s">
        <v>2383</v>
      </c>
      <c r="G35" s="97" t="s">
        <v>2383</v>
      </c>
      <c r="H35" s="98" t="s">
        <v>2383</v>
      </c>
      <c r="I35" s="81"/>
    </row>
    <row r="36" spans="1:9" ht="43.5" hidden="1">
      <c r="A36" s="69" t="s">
        <v>2562</v>
      </c>
      <c r="B36" t="s">
        <v>59</v>
      </c>
      <c r="C36" t="s">
        <v>2412</v>
      </c>
      <c r="D36" t="s">
        <v>2136</v>
      </c>
      <c r="E36" t="s">
        <v>2136</v>
      </c>
      <c r="F36" s="66" t="s">
        <v>2383</v>
      </c>
      <c r="G36" s="66" t="s">
        <v>2383</v>
      </c>
      <c r="H36" s="93" t="s">
        <v>2383</v>
      </c>
      <c r="I36" t="s">
        <v>2548</v>
      </c>
    </row>
    <row r="37" spans="1:9" ht="57.95" hidden="1">
      <c r="A37" s="80" t="s">
        <v>2563</v>
      </c>
      <c r="B37" s="81" t="s">
        <v>59</v>
      </c>
      <c r="C37" s="81" t="s">
        <v>2412</v>
      </c>
      <c r="D37" s="81" t="s">
        <v>2136</v>
      </c>
      <c r="E37" s="81" t="s">
        <v>2136</v>
      </c>
      <c r="F37" s="97" t="s">
        <v>2383</v>
      </c>
      <c r="G37" s="97" t="s">
        <v>2383</v>
      </c>
      <c r="H37" s="98" t="s">
        <v>2383</v>
      </c>
      <c r="I37" s="81"/>
    </row>
    <row r="38" spans="1:9" hidden="1">
      <c r="A38" s="69" t="s">
        <v>2564</v>
      </c>
      <c r="B38" t="s">
        <v>59</v>
      </c>
      <c r="C38" t="s">
        <v>2412</v>
      </c>
      <c r="D38" t="s">
        <v>2136</v>
      </c>
      <c r="E38" t="s">
        <v>2382</v>
      </c>
      <c r="F38" s="66" t="s">
        <v>2383</v>
      </c>
      <c r="G38" s="66" t="s">
        <v>2383</v>
      </c>
      <c r="H38" s="93" t="s">
        <v>2383</v>
      </c>
      <c r="I38" t="s">
        <v>2548</v>
      </c>
    </row>
    <row r="39" spans="1:9" hidden="1">
      <c r="A39" s="69" t="s">
        <v>2565</v>
      </c>
      <c r="B39" t="s">
        <v>59</v>
      </c>
      <c r="C39" t="s">
        <v>2412</v>
      </c>
      <c r="D39" t="s">
        <v>2136</v>
      </c>
      <c r="E39" t="s">
        <v>2382</v>
      </c>
      <c r="F39" s="66" t="s">
        <v>2383</v>
      </c>
      <c r="G39" s="66" t="s">
        <v>2383</v>
      </c>
      <c r="H39" s="93" t="s">
        <v>2383</v>
      </c>
      <c r="I39" t="s">
        <v>2566</v>
      </c>
    </row>
    <row r="40" spans="1:9" hidden="1">
      <c r="A40" s="69" t="s">
        <v>2567</v>
      </c>
      <c r="B40" t="s">
        <v>89</v>
      </c>
      <c r="C40" t="s">
        <v>2388</v>
      </c>
      <c r="D40" t="s">
        <v>2136</v>
      </c>
      <c r="E40" t="s">
        <v>2382</v>
      </c>
      <c r="F40" s="66" t="s">
        <v>2383</v>
      </c>
      <c r="G40" s="66" t="s">
        <v>2383</v>
      </c>
      <c r="H40" s="93" t="s">
        <v>2383</v>
      </c>
    </row>
    <row r="41" spans="1:9" hidden="1">
      <c r="A41" s="69" t="s">
        <v>2568</v>
      </c>
      <c r="B41" t="s">
        <v>82</v>
      </c>
      <c r="C41" t="s">
        <v>2388</v>
      </c>
      <c r="D41" t="s">
        <v>2136</v>
      </c>
      <c r="E41" t="s">
        <v>2382</v>
      </c>
      <c r="F41" s="66" t="s">
        <v>2383</v>
      </c>
      <c r="G41" s="66" t="s">
        <v>2383</v>
      </c>
      <c r="H41" s="93" t="s">
        <v>2383</v>
      </c>
    </row>
    <row r="42" spans="1:9" hidden="1">
      <c r="A42" s="69" t="s">
        <v>2569</v>
      </c>
      <c r="B42" t="s">
        <v>82</v>
      </c>
      <c r="C42" t="s">
        <v>2388</v>
      </c>
      <c r="D42" t="s">
        <v>2136</v>
      </c>
      <c r="E42" t="s">
        <v>2382</v>
      </c>
      <c r="F42" s="66" t="s">
        <v>2383</v>
      </c>
      <c r="G42" s="66" t="s">
        <v>2383</v>
      </c>
      <c r="H42" s="93" t="s">
        <v>2383</v>
      </c>
    </row>
    <row r="43" spans="1:9" ht="43.5" hidden="1">
      <c r="A43" s="69" t="s">
        <v>2570</v>
      </c>
      <c r="B43" t="s">
        <v>82</v>
      </c>
      <c r="C43" t="s">
        <v>2388</v>
      </c>
      <c r="D43" t="s">
        <v>2136</v>
      </c>
      <c r="E43" t="s">
        <v>2382</v>
      </c>
      <c r="F43" s="66" t="s">
        <v>2383</v>
      </c>
      <c r="G43" s="66" t="s">
        <v>2383</v>
      </c>
      <c r="H43" s="94" t="s">
        <v>2383</v>
      </c>
    </row>
    <row r="44" spans="1:9" hidden="1">
      <c r="A44" s="82" t="s">
        <v>2571</v>
      </c>
      <c r="B44" t="s">
        <v>89</v>
      </c>
      <c r="C44" t="s">
        <v>288</v>
      </c>
      <c r="D44" t="s">
        <v>49</v>
      </c>
      <c r="E44" t="s">
        <v>2405</v>
      </c>
      <c r="F44" s="66" t="s">
        <v>2383</v>
      </c>
      <c r="G44" s="66" t="s">
        <v>2383</v>
      </c>
      <c r="H44" s="93" t="s">
        <v>2383</v>
      </c>
    </row>
    <row r="45" spans="1:9" hidden="1">
      <c r="A45" s="82" t="s">
        <v>2572</v>
      </c>
      <c r="B45" t="s">
        <v>82</v>
      </c>
      <c r="C45" t="s">
        <v>288</v>
      </c>
      <c r="D45" t="s">
        <v>49</v>
      </c>
      <c r="E45" t="s">
        <v>2405</v>
      </c>
      <c r="F45" s="66" t="s">
        <v>2383</v>
      </c>
      <c r="G45" s="66" t="s">
        <v>2383</v>
      </c>
      <c r="H45" s="93" t="s">
        <v>2383</v>
      </c>
    </row>
    <row r="46" spans="1:9" ht="29.1" hidden="1">
      <c r="A46" s="69" t="s">
        <v>2573</v>
      </c>
      <c r="B46" t="s">
        <v>82</v>
      </c>
      <c r="C46" t="s">
        <v>288</v>
      </c>
      <c r="D46" t="s">
        <v>49</v>
      </c>
      <c r="E46" t="s">
        <v>2405</v>
      </c>
      <c r="F46" s="66" t="s">
        <v>2383</v>
      </c>
      <c r="G46" s="66" t="s">
        <v>2383</v>
      </c>
      <c r="H46" s="94" t="s">
        <v>2383</v>
      </c>
    </row>
    <row r="47" spans="1:9" hidden="1">
      <c r="A47" s="82" t="s">
        <v>2574</v>
      </c>
      <c r="B47" t="s">
        <v>82</v>
      </c>
      <c r="C47" t="s">
        <v>2388</v>
      </c>
      <c r="D47" t="s">
        <v>2136</v>
      </c>
      <c r="E47" t="s">
        <v>2386</v>
      </c>
      <c r="F47" s="66" t="s">
        <v>2383</v>
      </c>
      <c r="G47" s="66" t="s">
        <v>2383</v>
      </c>
      <c r="H47" s="93" t="s">
        <v>2383</v>
      </c>
    </row>
    <row r="48" spans="1:9" hidden="1">
      <c r="A48" s="69" t="s">
        <v>2575</v>
      </c>
      <c r="B48" t="s">
        <v>82</v>
      </c>
      <c r="C48" t="s">
        <v>2388</v>
      </c>
      <c r="D48" t="s">
        <v>2136</v>
      </c>
      <c r="E48" t="s">
        <v>2386</v>
      </c>
      <c r="F48" s="66" t="s">
        <v>2383</v>
      </c>
      <c r="G48" s="66" t="s">
        <v>2383</v>
      </c>
      <c r="H48" s="93" t="s">
        <v>2383</v>
      </c>
      <c r="I48" t="s">
        <v>2566</v>
      </c>
    </row>
    <row r="49" spans="1:9" hidden="1">
      <c r="A49" s="69" t="s">
        <v>2576</v>
      </c>
      <c r="B49" t="s">
        <v>82</v>
      </c>
      <c r="C49" t="s">
        <v>288</v>
      </c>
      <c r="D49" t="s">
        <v>49</v>
      </c>
      <c r="E49" t="s">
        <v>2405</v>
      </c>
      <c r="F49" s="66" t="s">
        <v>2383</v>
      </c>
      <c r="G49" s="66" t="s">
        <v>2383</v>
      </c>
      <c r="H49" s="93" t="s">
        <v>2383</v>
      </c>
      <c r="I49" t="s">
        <v>2566</v>
      </c>
    </row>
    <row r="50" spans="1:9" hidden="1">
      <c r="A50" s="69" t="s">
        <v>2577</v>
      </c>
      <c r="B50" t="s">
        <v>59</v>
      </c>
      <c r="C50" t="s">
        <v>288</v>
      </c>
      <c r="D50" t="s">
        <v>49</v>
      </c>
      <c r="E50" t="s">
        <v>2405</v>
      </c>
      <c r="F50" s="66" t="s">
        <v>2383</v>
      </c>
      <c r="G50" s="66" t="s">
        <v>2383</v>
      </c>
      <c r="H50" s="93" t="s">
        <v>2383</v>
      </c>
      <c r="I50" t="s">
        <v>2566</v>
      </c>
    </row>
    <row r="51" spans="1:9" hidden="1">
      <c r="A51" s="79" t="s">
        <v>2578</v>
      </c>
      <c r="B51" t="s">
        <v>82</v>
      </c>
      <c r="C51" t="s">
        <v>288</v>
      </c>
      <c r="D51" t="s">
        <v>49</v>
      </c>
      <c r="E51" t="s">
        <v>2405</v>
      </c>
      <c r="F51" s="66" t="s">
        <v>2383</v>
      </c>
      <c r="G51" s="66" t="s">
        <v>2383</v>
      </c>
      <c r="H51" s="93" t="s">
        <v>2383</v>
      </c>
      <c r="I51" t="s">
        <v>2579</v>
      </c>
    </row>
    <row r="52" spans="1:9" ht="29.1" hidden="1">
      <c r="A52" s="69" t="s">
        <v>2580</v>
      </c>
      <c r="B52" t="s">
        <v>82</v>
      </c>
      <c r="C52" t="s">
        <v>288</v>
      </c>
      <c r="D52" t="s">
        <v>49</v>
      </c>
      <c r="E52" t="s">
        <v>2405</v>
      </c>
      <c r="F52" s="66" t="s">
        <v>2383</v>
      </c>
      <c r="G52" s="66" t="s">
        <v>2383</v>
      </c>
      <c r="H52" s="93" t="s">
        <v>2383</v>
      </c>
    </row>
    <row r="53" spans="1:9" hidden="1">
      <c r="A53" s="69" t="s">
        <v>2581</v>
      </c>
      <c r="B53" t="s">
        <v>89</v>
      </c>
      <c r="C53" t="s">
        <v>288</v>
      </c>
      <c r="D53" t="s">
        <v>49</v>
      </c>
      <c r="E53" t="s">
        <v>2405</v>
      </c>
      <c r="F53" s="66" t="s">
        <v>2383</v>
      </c>
      <c r="G53" s="66" t="s">
        <v>2383</v>
      </c>
      <c r="H53" s="93" t="s">
        <v>2383</v>
      </c>
      <c r="I53" t="s">
        <v>2582</v>
      </c>
    </row>
    <row r="54" spans="1:9" hidden="1">
      <c r="A54" s="69" t="s">
        <v>2583</v>
      </c>
      <c r="B54" t="s">
        <v>89</v>
      </c>
      <c r="C54" t="s">
        <v>2584</v>
      </c>
      <c r="D54" t="s">
        <v>49</v>
      </c>
      <c r="E54" t="s">
        <v>2405</v>
      </c>
      <c r="F54" s="66" t="s">
        <v>2383</v>
      </c>
      <c r="G54" s="66" t="s">
        <v>2383</v>
      </c>
      <c r="H54" s="93" t="s">
        <v>2383</v>
      </c>
      <c r="I54" t="s">
        <v>2585</v>
      </c>
    </row>
    <row r="55" spans="1:9" hidden="1">
      <c r="A55" s="69" t="s">
        <v>2586</v>
      </c>
      <c r="B55" t="s">
        <v>82</v>
      </c>
      <c r="C55" t="s">
        <v>2388</v>
      </c>
      <c r="D55" t="s">
        <v>49</v>
      </c>
      <c r="E55" t="s">
        <v>2405</v>
      </c>
      <c r="F55" s="66" t="s">
        <v>2383</v>
      </c>
      <c r="G55" s="66" t="s">
        <v>2383</v>
      </c>
      <c r="H55" s="93" t="s">
        <v>2383</v>
      </c>
    </row>
    <row r="56" spans="1:9" hidden="1">
      <c r="A56" s="69" t="s">
        <v>2587</v>
      </c>
      <c r="B56" t="s">
        <v>82</v>
      </c>
      <c r="C56" t="s">
        <v>2388</v>
      </c>
      <c r="D56" t="s">
        <v>49</v>
      </c>
      <c r="E56" t="s">
        <v>2405</v>
      </c>
      <c r="F56" s="66" t="s">
        <v>2383</v>
      </c>
      <c r="G56" s="66" t="s">
        <v>2383</v>
      </c>
      <c r="H56" s="93" t="s">
        <v>2383</v>
      </c>
    </row>
    <row r="57" spans="1:9" hidden="1">
      <c r="A57" s="69" t="s">
        <v>2588</v>
      </c>
      <c r="B57" t="s">
        <v>82</v>
      </c>
      <c r="C57" t="s">
        <v>2388</v>
      </c>
      <c r="D57" t="s">
        <v>49</v>
      </c>
      <c r="E57" t="s">
        <v>2405</v>
      </c>
      <c r="F57" s="66" t="s">
        <v>2383</v>
      </c>
      <c r="G57" s="66" t="s">
        <v>2383</v>
      </c>
      <c r="H57" s="93" t="s">
        <v>2383</v>
      </c>
    </row>
    <row r="58" spans="1:9" hidden="1">
      <c r="A58" s="69" t="s">
        <v>2589</v>
      </c>
      <c r="B58" t="s">
        <v>59</v>
      </c>
      <c r="C58" t="s">
        <v>2412</v>
      </c>
      <c r="D58" t="s">
        <v>49</v>
      </c>
      <c r="E58" t="s">
        <v>2427</v>
      </c>
      <c r="F58" s="66" t="s">
        <v>2383</v>
      </c>
      <c r="G58" s="66" t="s">
        <v>2383</v>
      </c>
      <c r="H58" s="93" t="s">
        <v>2383</v>
      </c>
      <c r="I58" t="s">
        <v>2582</v>
      </c>
    </row>
    <row r="59" spans="1:9" ht="130.5" hidden="1">
      <c r="A59" s="82" t="s">
        <v>2590</v>
      </c>
      <c r="B59" s="83" t="s">
        <v>59</v>
      </c>
      <c r="C59" s="83" t="s">
        <v>2381</v>
      </c>
      <c r="D59" s="83" t="s">
        <v>228</v>
      </c>
      <c r="E59" s="83" t="s">
        <v>228</v>
      </c>
      <c r="F59" s="99" t="s">
        <v>2383</v>
      </c>
      <c r="G59" s="99" t="s">
        <v>2383</v>
      </c>
      <c r="H59" s="100" t="s">
        <v>2383</v>
      </c>
      <c r="I59" s="83"/>
    </row>
    <row r="60" spans="1:9" hidden="1">
      <c r="A60" s="82" t="s">
        <v>2591</v>
      </c>
      <c r="B60" s="83" t="s">
        <v>82</v>
      </c>
      <c r="C60" s="83" t="s">
        <v>741</v>
      </c>
      <c r="D60" s="83" t="s">
        <v>2483</v>
      </c>
      <c r="E60" s="83" t="s">
        <v>228</v>
      </c>
      <c r="F60" s="99" t="s">
        <v>2383</v>
      </c>
      <c r="G60" s="99" t="s">
        <v>2383</v>
      </c>
      <c r="H60" s="100" t="s">
        <v>2383</v>
      </c>
      <c r="I60" s="83"/>
    </row>
    <row r="61" spans="1:9" hidden="1">
      <c r="A61" t="s">
        <v>2592</v>
      </c>
      <c r="B61" t="s">
        <v>59</v>
      </c>
      <c r="C61" t="s">
        <v>2381</v>
      </c>
      <c r="D61" t="s">
        <v>2483</v>
      </c>
      <c r="E61" t="s">
        <v>2483</v>
      </c>
      <c r="F61" s="66" t="s">
        <v>2383</v>
      </c>
      <c r="G61" s="66" t="s">
        <v>2383</v>
      </c>
      <c r="H61" s="93" t="s">
        <v>2383</v>
      </c>
      <c r="I61" t="s">
        <v>2582</v>
      </c>
    </row>
    <row r="62" spans="1:9" ht="43.5" hidden="1">
      <c r="A62" s="69" t="s">
        <v>2593</v>
      </c>
      <c r="B62" t="s">
        <v>59</v>
      </c>
      <c r="C62" t="s">
        <v>2381</v>
      </c>
      <c r="D62" t="s">
        <v>2483</v>
      </c>
      <c r="E62" t="s">
        <v>2483</v>
      </c>
      <c r="F62" s="66" t="s">
        <v>2383</v>
      </c>
      <c r="G62" s="66" t="s">
        <v>2383</v>
      </c>
      <c r="H62" s="93" t="s">
        <v>2383</v>
      </c>
      <c r="I62" t="s">
        <v>2582</v>
      </c>
    </row>
    <row r="63" spans="1:9" ht="144.94999999999999" hidden="1">
      <c r="A63" s="80" t="s">
        <v>2594</v>
      </c>
      <c r="B63" s="81" t="s">
        <v>59</v>
      </c>
      <c r="C63" s="81" t="s">
        <v>2381</v>
      </c>
      <c r="D63" s="81" t="s">
        <v>2483</v>
      </c>
      <c r="E63" s="81" t="s">
        <v>2483</v>
      </c>
      <c r="F63" s="97" t="s">
        <v>2383</v>
      </c>
      <c r="G63" s="97" t="s">
        <v>2383</v>
      </c>
      <c r="H63" s="98" t="s">
        <v>2383</v>
      </c>
      <c r="I63" s="81"/>
    </row>
    <row r="64" spans="1:9" hidden="1">
      <c r="A64" s="69" t="s">
        <v>2595</v>
      </c>
      <c r="B64" t="s">
        <v>82</v>
      </c>
      <c r="C64" t="s">
        <v>2388</v>
      </c>
      <c r="D64" t="s">
        <v>2136</v>
      </c>
      <c r="E64" t="s">
        <v>2382</v>
      </c>
      <c r="F64" s="66" t="s">
        <v>2383</v>
      </c>
      <c r="G64" s="66" t="s">
        <v>2383</v>
      </c>
      <c r="H64" s="93" t="s">
        <v>2383</v>
      </c>
    </row>
    <row r="65" spans="1:9" ht="15.95" hidden="1">
      <c r="A65" s="71" t="s">
        <v>2596</v>
      </c>
      <c r="B65" t="s">
        <v>82</v>
      </c>
      <c r="C65" t="s">
        <v>741</v>
      </c>
      <c r="D65" t="s">
        <v>49</v>
      </c>
      <c r="E65" t="s">
        <v>2427</v>
      </c>
      <c r="F65" s="66" t="s">
        <v>2383</v>
      </c>
      <c r="G65" s="66" t="s">
        <v>2383</v>
      </c>
      <c r="H65" s="93" t="s">
        <v>2383</v>
      </c>
    </row>
    <row r="66" spans="1:9" ht="15.95" hidden="1">
      <c r="A66" s="71" t="s">
        <v>2597</v>
      </c>
      <c r="B66" t="s">
        <v>82</v>
      </c>
      <c r="C66" t="s">
        <v>741</v>
      </c>
      <c r="D66" t="s">
        <v>49</v>
      </c>
      <c r="E66" t="s">
        <v>2427</v>
      </c>
      <c r="F66" s="66" t="s">
        <v>2383</v>
      </c>
      <c r="G66" s="66" t="s">
        <v>2383</v>
      </c>
      <c r="H66" s="93" t="s">
        <v>2383</v>
      </c>
    </row>
    <row r="67" spans="1:9" ht="15.95" hidden="1">
      <c r="A67" s="71" t="s">
        <v>2598</v>
      </c>
      <c r="B67" t="s">
        <v>82</v>
      </c>
      <c r="C67" t="s">
        <v>741</v>
      </c>
      <c r="D67" t="s">
        <v>49</v>
      </c>
      <c r="E67" t="s">
        <v>2427</v>
      </c>
      <c r="F67" s="66" t="s">
        <v>2383</v>
      </c>
      <c r="G67" s="66" t="s">
        <v>2383</v>
      </c>
      <c r="H67" s="93" t="s">
        <v>2383</v>
      </c>
    </row>
    <row r="68" spans="1:9" ht="32.1" hidden="1">
      <c r="A68" s="72" t="s">
        <v>2599</v>
      </c>
      <c r="B68" t="s">
        <v>82</v>
      </c>
      <c r="C68" t="s">
        <v>741</v>
      </c>
      <c r="D68" t="s">
        <v>49</v>
      </c>
      <c r="E68" t="s">
        <v>2427</v>
      </c>
      <c r="F68" s="66" t="s">
        <v>2383</v>
      </c>
      <c r="G68" s="66" t="s">
        <v>2383</v>
      </c>
      <c r="H68" s="93" t="s">
        <v>2383</v>
      </c>
    </row>
    <row r="69" spans="1:9" ht="32.1" hidden="1">
      <c r="A69" s="72" t="s">
        <v>2600</v>
      </c>
      <c r="B69" t="s">
        <v>82</v>
      </c>
      <c r="C69" t="s">
        <v>741</v>
      </c>
      <c r="D69" t="s">
        <v>49</v>
      </c>
      <c r="E69" t="s">
        <v>2427</v>
      </c>
      <c r="F69" s="66" t="s">
        <v>2383</v>
      </c>
      <c r="G69" s="66" t="s">
        <v>2383</v>
      </c>
      <c r="H69" s="93" t="s">
        <v>2383</v>
      </c>
    </row>
    <row r="70" spans="1:9" ht="32.1" hidden="1">
      <c r="A70" s="72" t="s">
        <v>2601</v>
      </c>
      <c r="B70" t="s">
        <v>82</v>
      </c>
      <c r="C70" t="s">
        <v>741</v>
      </c>
      <c r="D70" t="s">
        <v>49</v>
      </c>
      <c r="E70" t="s">
        <v>2427</v>
      </c>
      <c r="F70" s="66" t="s">
        <v>2383</v>
      </c>
      <c r="G70" s="66" t="s">
        <v>2383</v>
      </c>
      <c r="H70" s="93" t="s">
        <v>2383</v>
      </c>
      <c r="I70" t="s">
        <v>2582</v>
      </c>
    </row>
    <row r="71" spans="1:9" ht="15.95" hidden="1">
      <c r="A71" s="71" t="s">
        <v>2602</v>
      </c>
      <c r="B71" t="s">
        <v>82</v>
      </c>
      <c r="C71" t="s">
        <v>741</v>
      </c>
      <c r="D71" t="s">
        <v>49</v>
      </c>
      <c r="E71" t="s">
        <v>2427</v>
      </c>
      <c r="F71" s="66" t="s">
        <v>2383</v>
      </c>
      <c r="G71" s="66" t="s">
        <v>2383</v>
      </c>
      <c r="H71" s="93" t="s">
        <v>2383</v>
      </c>
      <c r="I71" t="s">
        <v>2582</v>
      </c>
    </row>
    <row r="72" spans="1:9" ht="32.25" hidden="1" customHeight="1">
      <c r="A72" s="73" t="s">
        <v>2603</v>
      </c>
      <c r="B72" t="s">
        <v>59</v>
      </c>
      <c r="C72" t="s">
        <v>2412</v>
      </c>
      <c r="D72" t="s">
        <v>2136</v>
      </c>
      <c r="E72" t="s">
        <v>2397</v>
      </c>
      <c r="F72" s="66" t="s">
        <v>2383</v>
      </c>
      <c r="G72" s="66" t="s">
        <v>2383</v>
      </c>
      <c r="H72" s="93" t="s">
        <v>2383</v>
      </c>
      <c r="I72" t="s">
        <v>2582</v>
      </c>
    </row>
    <row r="73" spans="1:9" ht="34.5" hidden="1" customHeight="1">
      <c r="A73" s="73" t="s">
        <v>2604</v>
      </c>
      <c r="B73" t="s">
        <v>59</v>
      </c>
      <c r="C73" t="s">
        <v>2412</v>
      </c>
      <c r="D73" t="s">
        <v>2136</v>
      </c>
      <c r="E73" t="s">
        <v>2386</v>
      </c>
      <c r="F73" s="66" t="s">
        <v>2383</v>
      </c>
      <c r="G73" s="66" t="s">
        <v>2383</v>
      </c>
      <c r="H73" s="93" t="s">
        <v>2383</v>
      </c>
      <c r="I73" t="s">
        <v>2582</v>
      </c>
    </row>
    <row r="74" spans="1:9" ht="28.5" hidden="1" customHeight="1">
      <c r="A74" s="73" t="s">
        <v>2605</v>
      </c>
      <c r="B74" t="s">
        <v>59</v>
      </c>
      <c r="C74" t="s">
        <v>2412</v>
      </c>
      <c r="D74" t="s">
        <v>2136</v>
      </c>
      <c r="E74" t="s">
        <v>2136</v>
      </c>
      <c r="F74" s="66" t="s">
        <v>2383</v>
      </c>
      <c r="G74" s="66" t="s">
        <v>2383</v>
      </c>
      <c r="H74" s="93" t="s">
        <v>2383</v>
      </c>
      <c r="I74" t="s">
        <v>2582</v>
      </c>
    </row>
    <row r="75" spans="1:9" ht="29.25" hidden="1" customHeight="1">
      <c r="A75" s="73" t="s">
        <v>2606</v>
      </c>
      <c r="B75" t="s">
        <v>59</v>
      </c>
      <c r="C75" t="s">
        <v>2412</v>
      </c>
      <c r="D75" t="s">
        <v>2136</v>
      </c>
      <c r="E75" t="s">
        <v>2382</v>
      </c>
      <c r="F75" s="66" t="s">
        <v>2383</v>
      </c>
      <c r="G75" s="66" t="s">
        <v>2383</v>
      </c>
      <c r="H75" s="93" t="s">
        <v>2383</v>
      </c>
      <c r="I75" t="s">
        <v>2582</v>
      </c>
    </row>
    <row r="76" spans="1:9" ht="37.5" hidden="1" customHeight="1">
      <c r="A76" t="s">
        <v>2607</v>
      </c>
      <c r="B76" t="s">
        <v>59</v>
      </c>
      <c r="C76" t="s">
        <v>2412</v>
      </c>
      <c r="D76" t="s">
        <v>2136</v>
      </c>
      <c r="E76" t="s">
        <v>2382</v>
      </c>
      <c r="F76" s="66" t="s">
        <v>2383</v>
      </c>
      <c r="G76" s="66" t="s">
        <v>2383</v>
      </c>
      <c r="H76" s="93" t="s">
        <v>2383</v>
      </c>
      <c r="I76" t="s">
        <v>2582</v>
      </c>
    </row>
    <row r="77" spans="1:9" ht="28.5" hidden="1" customHeight="1">
      <c r="A77" t="s">
        <v>2542</v>
      </c>
      <c r="B77" t="s">
        <v>59</v>
      </c>
      <c r="C77" t="s">
        <v>2412</v>
      </c>
      <c r="D77" t="s">
        <v>49</v>
      </c>
      <c r="E77" t="s">
        <v>1779</v>
      </c>
      <c r="F77" s="66" t="s">
        <v>2383</v>
      </c>
      <c r="G77" s="66" t="s">
        <v>2383</v>
      </c>
      <c r="H77" s="93" t="s">
        <v>2383</v>
      </c>
      <c r="I77" t="s">
        <v>2582</v>
      </c>
    </row>
    <row r="78" spans="1:9" ht="29.25" hidden="1" customHeight="1">
      <c r="A78" s="87" t="s">
        <v>2608</v>
      </c>
      <c r="B78" t="s">
        <v>59</v>
      </c>
      <c r="C78" t="s">
        <v>2412</v>
      </c>
      <c r="D78" t="s">
        <v>49</v>
      </c>
      <c r="E78" t="s">
        <v>49</v>
      </c>
      <c r="F78" s="66" t="s">
        <v>2383</v>
      </c>
      <c r="G78" s="66" t="s">
        <v>2383</v>
      </c>
      <c r="H78" s="93" t="s">
        <v>2383</v>
      </c>
      <c r="I78" t="s">
        <v>2609</v>
      </c>
    </row>
    <row r="79" spans="1:9" hidden="1">
      <c r="A79" t="s">
        <v>2610</v>
      </c>
      <c r="B79" t="s">
        <v>89</v>
      </c>
      <c r="C79" t="s">
        <v>741</v>
      </c>
      <c r="D79" t="s">
        <v>49</v>
      </c>
      <c r="E79" t="s">
        <v>2535</v>
      </c>
      <c r="F79" s="66" t="s">
        <v>2383</v>
      </c>
      <c r="G79" s="66" t="s">
        <v>2383</v>
      </c>
      <c r="H79" s="93" t="s">
        <v>2383</v>
      </c>
    </row>
    <row r="80" spans="1:9" hidden="1">
      <c r="A80" s="69" t="s">
        <v>2611</v>
      </c>
      <c r="B80" t="s">
        <v>59</v>
      </c>
      <c r="C80" t="s">
        <v>2381</v>
      </c>
      <c r="D80" t="s">
        <v>2483</v>
      </c>
      <c r="E80" t="s">
        <v>2523</v>
      </c>
      <c r="F80" s="66" t="s">
        <v>2383</v>
      </c>
      <c r="G80" s="66" t="s">
        <v>2383</v>
      </c>
      <c r="H80" s="93" t="s">
        <v>2383</v>
      </c>
    </row>
    <row r="81" spans="1:9" hidden="1">
      <c r="A81" s="69" t="s">
        <v>2611</v>
      </c>
      <c r="B81" t="s">
        <v>59</v>
      </c>
      <c r="C81" t="s">
        <v>2412</v>
      </c>
      <c r="D81" t="s">
        <v>49</v>
      </c>
      <c r="E81" t="s">
        <v>2427</v>
      </c>
      <c r="F81" s="66" t="s">
        <v>2383</v>
      </c>
      <c r="G81" s="66" t="s">
        <v>2383</v>
      </c>
      <c r="H81" s="93" t="s">
        <v>2383</v>
      </c>
      <c r="I81" t="s">
        <v>2609</v>
      </c>
    </row>
    <row r="82" spans="1:9" hidden="1">
      <c r="A82" s="69" t="s">
        <v>2612</v>
      </c>
      <c r="B82" t="s">
        <v>59</v>
      </c>
      <c r="C82" t="s">
        <v>2412</v>
      </c>
      <c r="D82" t="s">
        <v>2136</v>
      </c>
      <c r="E82" t="s">
        <v>2386</v>
      </c>
      <c r="F82" s="66" t="s">
        <v>2383</v>
      </c>
      <c r="G82" s="66" t="s">
        <v>2383</v>
      </c>
      <c r="H82" s="93" t="s">
        <v>2383</v>
      </c>
    </row>
    <row r="83" spans="1:9" hidden="1">
      <c r="A83" s="69" t="s">
        <v>2612</v>
      </c>
      <c r="B83" t="s">
        <v>59</v>
      </c>
      <c r="C83" t="s">
        <v>2412</v>
      </c>
      <c r="D83" t="s">
        <v>2136</v>
      </c>
      <c r="E83" t="s">
        <v>2397</v>
      </c>
      <c r="F83" s="66" t="s">
        <v>2383</v>
      </c>
      <c r="G83" s="66" t="s">
        <v>2383</v>
      </c>
      <c r="H83" s="93" t="s">
        <v>2383</v>
      </c>
    </row>
    <row r="84" spans="1:9" hidden="1">
      <c r="A84" s="69" t="s">
        <v>2613</v>
      </c>
      <c r="B84" t="s">
        <v>82</v>
      </c>
      <c r="C84" t="s">
        <v>288</v>
      </c>
      <c r="D84" t="s">
        <v>49</v>
      </c>
      <c r="E84" t="s">
        <v>2405</v>
      </c>
      <c r="F84" s="66" t="s">
        <v>2383</v>
      </c>
      <c r="G84" s="66" t="s">
        <v>2383</v>
      </c>
      <c r="H84" s="93" t="s">
        <v>2383</v>
      </c>
    </row>
    <row r="85" spans="1:9" hidden="1">
      <c r="A85" t="s">
        <v>2614</v>
      </c>
      <c r="B85" t="s">
        <v>89</v>
      </c>
      <c r="C85" t="s">
        <v>741</v>
      </c>
      <c r="D85" t="s">
        <v>49</v>
      </c>
      <c r="E85" t="s">
        <v>2527</v>
      </c>
      <c r="F85" s="66" t="s">
        <v>2383</v>
      </c>
      <c r="G85" s="66" t="s">
        <v>2383</v>
      </c>
      <c r="H85" s="93" t="s">
        <v>2383</v>
      </c>
    </row>
    <row r="86" spans="1:9" hidden="1">
      <c r="A86" t="s">
        <v>2615</v>
      </c>
      <c r="B86" t="s">
        <v>59</v>
      </c>
      <c r="C86" t="s">
        <v>2412</v>
      </c>
      <c r="D86" t="s">
        <v>2136</v>
      </c>
      <c r="E86" t="s">
        <v>2386</v>
      </c>
      <c r="F86" s="66" t="s">
        <v>2383</v>
      </c>
      <c r="G86" s="66" t="s">
        <v>2383</v>
      </c>
      <c r="H86" s="93" t="s">
        <v>2383</v>
      </c>
    </row>
    <row r="87" spans="1:9" ht="159.6" hidden="1">
      <c r="A87" s="76" t="s">
        <v>2616</v>
      </c>
      <c r="B87" t="s">
        <v>82</v>
      </c>
      <c r="C87" t="s">
        <v>741</v>
      </c>
      <c r="D87" t="s">
        <v>2483</v>
      </c>
      <c r="E87" t="s">
        <v>228</v>
      </c>
      <c r="F87" s="66" t="s">
        <v>2383</v>
      </c>
      <c r="G87" s="66" t="s">
        <v>2383</v>
      </c>
      <c r="H87" s="94" t="s">
        <v>2383</v>
      </c>
      <c r="I87" t="s">
        <v>2617</v>
      </c>
    </row>
    <row r="88" spans="1:9" ht="29.1" hidden="1">
      <c r="A88" s="80" t="s">
        <v>2618</v>
      </c>
      <c r="B88" t="s">
        <v>89</v>
      </c>
      <c r="C88" t="s">
        <v>741</v>
      </c>
      <c r="D88" t="s">
        <v>49</v>
      </c>
      <c r="E88" t="s">
        <v>2427</v>
      </c>
      <c r="F88" s="66" t="s">
        <v>2383</v>
      </c>
      <c r="G88" s="66" t="s">
        <v>2383</v>
      </c>
      <c r="H88" s="93" t="s">
        <v>2383</v>
      </c>
    </row>
    <row r="89" spans="1:9" ht="29.1" hidden="1">
      <c r="A89" s="77" t="s">
        <v>2619</v>
      </c>
      <c r="B89" t="s">
        <v>89</v>
      </c>
      <c r="C89" t="s">
        <v>741</v>
      </c>
      <c r="D89" t="s">
        <v>49</v>
      </c>
      <c r="E89" t="s">
        <v>2427</v>
      </c>
      <c r="F89" s="66" t="s">
        <v>2383</v>
      </c>
      <c r="G89" s="66" t="s">
        <v>2383</v>
      </c>
      <c r="H89" s="93" t="s">
        <v>2383</v>
      </c>
    </row>
    <row r="90" spans="1:9" ht="203.1" hidden="1">
      <c r="A90" s="69" t="s">
        <v>2620</v>
      </c>
      <c r="B90" t="s">
        <v>89</v>
      </c>
      <c r="C90" t="s">
        <v>741</v>
      </c>
      <c r="D90" t="s">
        <v>49</v>
      </c>
      <c r="E90" t="s">
        <v>2427</v>
      </c>
      <c r="F90" s="66" t="s">
        <v>2383</v>
      </c>
      <c r="G90" s="66" t="s">
        <v>2383</v>
      </c>
      <c r="H90" s="93" t="s">
        <v>2383</v>
      </c>
    </row>
    <row r="91" spans="1:9" hidden="1">
      <c r="A91" s="69" t="s">
        <v>2621</v>
      </c>
      <c r="B91" t="s">
        <v>82</v>
      </c>
      <c r="C91" t="s">
        <v>288</v>
      </c>
      <c r="D91" t="s">
        <v>49</v>
      </c>
      <c r="E91" t="s">
        <v>2405</v>
      </c>
      <c r="F91" s="66" t="s">
        <v>2383</v>
      </c>
      <c r="G91" s="66" t="s">
        <v>2383</v>
      </c>
      <c r="H91" s="93" t="s">
        <v>2383</v>
      </c>
    </row>
    <row r="92" spans="1:9" ht="29.1" hidden="1">
      <c r="A92" s="69" t="s">
        <v>2622</v>
      </c>
      <c r="B92" t="s">
        <v>82</v>
      </c>
      <c r="C92" t="s">
        <v>288</v>
      </c>
      <c r="D92" t="s">
        <v>49</v>
      </c>
      <c r="E92" t="s">
        <v>2405</v>
      </c>
      <c r="F92" s="66" t="s">
        <v>2383</v>
      </c>
      <c r="G92" s="66" t="s">
        <v>2383</v>
      </c>
      <c r="H92" s="93" t="s">
        <v>2383</v>
      </c>
    </row>
    <row r="93" spans="1:9" hidden="1">
      <c r="A93" s="69" t="s">
        <v>2623</v>
      </c>
      <c r="B93" t="s">
        <v>89</v>
      </c>
      <c r="C93" t="s">
        <v>288</v>
      </c>
      <c r="D93" t="s">
        <v>2136</v>
      </c>
      <c r="E93" t="s">
        <v>2382</v>
      </c>
      <c r="F93" s="66" t="s">
        <v>2383</v>
      </c>
      <c r="G93" s="66" t="s">
        <v>2383</v>
      </c>
      <c r="H93" s="93" t="s">
        <v>2383</v>
      </c>
    </row>
    <row r="94" spans="1:9" hidden="1">
      <c r="A94" s="69" t="s">
        <v>2624</v>
      </c>
      <c r="B94" t="s">
        <v>89</v>
      </c>
      <c r="C94" t="s">
        <v>288</v>
      </c>
      <c r="D94" t="s">
        <v>2136</v>
      </c>
      <c r="E94" t="s">
        <v>2382</v>
      </c>
      <c r="F94" s="66" t="s">
        <v>2383</v>
      </c>
      <c r="G94" s="66" t="s">
        <v>2383</v>
      </c>
      <c r="H94" s="93" t="s">
        <v>2383</v>
      </c>
    </row>
    <row r="95" spans="1:9" hidden="1">
      <c r="A95" s="69" t="s">
        <v>2625</v>
      </c>
      <c r="B95" t="s">
        <v>89</v>
      </c>
      <c r="C95" t="s">
        <v>2388</v>
      </c>
      <c r="D95" t="s">
        <v>2136</v>
      </c>
      <c r="E95" t="s">
        <v>2382</v>
      </c>
      <c r="F95" s="66" t="s">
        <v>2383</v>
      </c>
      <c r="G95" s="66" t="s">
        <v>2383</v>
      </c>
      <c r="H95" s="93" t="s">
        <v>2383</v>
      </c>
    </row>
    <row r="96" spans="1:9" ht="87" hidden="1">
      <c r="A96" s="69" t="s">
        <v>2626</v>
      </c>
      <c r="B96" t="s">
        <v>89</v>
      </c>
      <c r="C96" t="s">
        <v>2388</v>
      </c>
      <c r="D96" t="s">
        <v>2136</v>
      </c>
      <c r="E96" t="s">
        <v>2386</v>
      </c>
      <c r="F96" s="66" t="s">
        <v>2383</v>
      </c>
      <c r="G96" s="66" t="s">
        <v>2383</v>
      </c>
      <c r="H96" s="93" t="s">
        <v>2383</v>
      </c>
    </row>
    <row r="97" spans="1:9" hidden="1">
      <c r="A97" s="69" t="s">
        <v>2627</v>
      </c>
      <c r="B97" t="s">
        <v>59</v>
      </c>
      <c r="C97" t="s">
        <v>288</v>
      </c>
      <c r="D97" t="s">
        <v>2136</v>
      </c>
      <c r="E97" t="s">
        <v>2382</v>
      </c>
      <c r="F97" s="66" t="s">
        <v>2383</v>
      </c>
      <c r="G97" s="66" t="s">
        <v>2383</v>
      </c>
      <c r="H97" s="93" t="s">
        <v>2383</v>
      </c>
    </row>
    <row r="98" spans="1:9" hidden="1">
      <c r="A98" t="s">
        <v>2628</v>
      </c>
      <c r="B98" t="s">
        <v>89</v>
      </c>
      <c r="C98" t="s">
        <v>741</v>
      </c>
      <c r="D98" t="s">
        <v>49</v>
      </c>
      <c r="E98" t="s">
        <v>2427</v>
      </c>
      <c r="F98" s="66" t="s">
        <v>2383</v>
      </c>
      <c r="G98" s="66" t="s">
        <v>2383</v>
      </c>
      <c r="H98" s="93" t="s">
        <v>2383</v>
      </c>
    </row>
    <row r="99" spans="1:9" ht="159.6" hidden="1">
      <c r="A99" s="69" t="s">
        <v>2629</v>
      </c>
      <c r="B99" t="s">
        <v>59</v>
      </c>
      <c r="C99" t="s">
        <v>288</v>
      </c>
      <c r="D99" t="s">
        <v>49</v>
      </c>
      <c r="E99" t="s">
        <v>2405</v>
      </c>
      <c r="F99" s="66" t="s">
        <v>2383</v>
      </c>
      <c r="G99" s="66" t="s">
        <v>2383</v>
      </c>
      <c r="H99" s="93" t="s">
        <v>2383</v>
      </c>
    </row>
    <row r="100" spans="1:9" hidden="1">
      <c r="A100" t="s">
        <v>2630</v>
      </c>
      <c r="B100" t="s">
        <v>82</v>
      </c>
      <c r="C100" t="s">
        <v>288</v>
      </c>
      <c r="D100" t="s">
        <v>2136</v>
      </c>
      <c r="E100" t="s">
        <v>2382</v>
      </c>
      <c r="F100" s="66" t="s">
        <v>2383</v>
      </c>
      <c r="G100" s="66" t="s">
        <v>2384</v>
      </c>
      <c r="H100" s="94" t="s">
        <v>2383</v>
      </c>
      <c r="I100" t="s">
        <v>2631</v>
      </c>
    </row>
    <row r="101" spans="1:9" ht="29.1" hidden="1">
      <c r="A101" s="78" t="s">
        <v>2632</v>
      </c>
      <c r="B101" t="s">
        <v>82</v>
      </c>
      <c r="C101" t="s">
        <v>2388</v>
      </c>
      <c r="D101" t="s">
        <v>2136</v>
      </c>
      <c r="E101" t="s">
        <v>2382</v>
      </c>
      <c r="F101" s="66" t="s">
        <v>2383</v>
      </c>
      <c r="G101" s="66" t="s">
        <v>2383</v>
      </c>
      <c r="H101" s="94" t="s">
        <v>2383</v>
      </c>
    </row>
    <row r="102" spans="1:9" ht="29.1" hidden="1">
      <c r="A102" s="69" t="s">
        <v>2633</v>
      </c>
      <c r="B102" t="s">
        <v>59</v>
      </c>
      <c r="C102" t="s">
        <v>288</v>
      </c>
      <c r="D102" t="s">
        <v>49</v>
      </c>
      <c r="E102" t="s">
        <v>2405</v>
      </c>
      <c r="F102" t="s">
        <v>2383</v>
      </c>
      <c r="G102" t="s">
        <v>2383</v>
      </c>
      <c r="H102" s="94" t="s">
        <v>2383</v>
      </c>
    </row>
    <row r="103" spans="1:9" hidden="1">
      <c r="A103" t="s">
        <v>2634</v>
      </c>
      <c r="B103" t="s">
        <v>89</v>
      </c>
      <c r="C103" t="s">
        <v>288</v>
      </c>
      <c r="D103" t="s">
        <v>49</v>
      </c>
      <c r="E103" t="s">
        <v>2405</v>
      </c>
      <c r="F103" t="s">
        <v>2383</v>
      </c>
      <c r="G103" t="s">
        <v>2383</v>
      </c>
      <c r="H103" s="94" t="s">
        <v>2383</v>
      </c>
    </row>
    <row r="104" spans="1:9" ht="29.1" hidden="1">
      <c r="A104" s="69" t="s">
        <v>2635</v>
      </c>
      <c r="B104" t="s">
        <v>89</v>
      </c>
      <c r="C104" t="s">
        <v>288</v>
      </c>
      <c r="D104" t="s">
        <v>49</v>
      </c>
      <c r="E104" t="s">
        <v>2405</v>
      </c>
      <c r="F104" s="66" t="s">
        <v>2383</v>
      </c>
      <c r="G104" s="66" t="s">
        <v>2383</v>
      </c>
      <c r="H104" s="93" t="s">
        <v>2383</v>
      </c>
    </row>
    <row r="105" spans="1:9" ht="29.1" hidden="1">
      <c r="A105" s="69" t="s">
        <v>2636</v>
      </c>
      <c r="B105" t="s">
        <v>59</v>
      </c>
      <c r="C105" t="s">
        <v>288</v>
      </c>
      <c r="D105" t="s">
        <v>49</v>
      </c>
      <c r="E105" t="s">
        <v>2405</v>
      </c>
      <c r="F105" s="66" t="s">
        <v>2383</v>
      </c>
      <c r="G105" s="66" t="s">
        <v>2383</v>
      </c>
      <c r="H105" s="93" t="s">
        <v>2383</v>
      </c>
    </row>
    <row r="106" spans="1:9" hidden="1">
      <c r="A106" t="s">
        <v>2637</v>
      </c>
      <c r="B106" t="s">
        <v>59</v>
      </c>
      <c r="C106" t="s">
        <v>288</v>
      </c>
      <c r="D106" t="s">
        <v>49</v>
      </c>
      <c r="E106" t="s">
        <v>2405</v>
      </c>
      <c r="F106" s="66" t="s">
        <v>2383</v>
      </c>
      <c r="G106" s="66" t="s">
        <v>2383</v>
      </c>
      <c r="H106" s="93" t="s">
        <v>2383</v>
      </c>
    </row>
    <row r="107" spans="1:9" hidden="1">
      <c r="A107" t="s">
        <v>2638</v>
      </c>
      <c r="B107" t="s">
        <v>89</v>
      </c>
      <c r="C107" t="s">
        <v>288</v>
      </c>
      <c r="D107" t="s">
        <v>2480</v>
      </c>
      <c r="E107" t="s">
        <v>2639</v>
      </c>
      <c r="F107" s="66" t="s">
        <v>2383</v>
      </c>
      <c r="G107" s="66" t="s">
        <v>2383</v>
      </c>
      <c r="H107" s="93" t="s">
        <v>2383</v>
      </c>
    </row>
    <row r="108" spans="1:9" ht="29.1" hidden="1">
      <c r="A108" s="69" t="s">
        <v>2640</v>
      </c>
      <c r="B108" t="s">
        <v>89</v>
      </c>
      <c r="C108" t="s">
        <v>288</v>
      </c>
      <c r="D108" t="s">
        <v>2136</v>
      </c>
      <c r="E108" t="s">
        <v>2386</v>
      </c>
      <c r="F108" s="66" t="s">
        <v>2383</v>
      </c>
      <c r="G108" s="66" t="s">
        <v>2383</v>
      </c>
      <c r="H108" s="93" t="s">
        <v>2383</v>
      </c>
    </row>
    <row r="109" spans="1:9" ht="29.1" hidden="1">
      <c r="A109" s="69" t="s">
        <v>2641</v>
      </c>
      <c r="B109" t="s">
        <v>89</v>
      </c>
      <c r="C109" t="s">
        <v>288</v>
      </c>
      <c r="D109" t="s">
        <v>2136</v>
      </c>
      <c r="E109" t="s">
        <v>2382</v>
      </c>
      <c r="F109" s="66" t="s">
        <v>2383</v>
      </c>
      <c r="G109" s="66" t="s">
        <v>2383</v>
      </c>
      <c r="H109" s="93" t="s">
        <v>2383</v>
      </c>
    </row>
    <row r="110" spans="1:9" hidden="1">
      <c r="A110" s="69" t="s">
        <v>2642</v>
      </c>
      <c r="B110" t="s">
        <v>89</v>
      </c>
      <c r="C110" t="s">
        <v>288</v>
      </c>
      <c r="D110" t="s">
        <v>2136</v>
      </c>
      <c r="E110" t="s">
        <v>2382</v>
      </c>
      <c r="F110" s="66" t="s">
        <v>2383</v>
      </c>
      <c r="G110" s="66" t="s">
        <v>2383</v>
      </c>
      <c r="H110" s="93" t="s">
        <v>2383</v>
      </c>
    </row>
    <row r="111" spans="1:9" hidden="1">
      <c r="A111" s="69" t="s">
        <v>2643</v>
      </c>
      <c r="B111" t="s">
        <v>59</v>
      </c>
      <c r="C111" t="s">
        <v>2388</v>
      </c>
      <c r="D111" t="s">
        <v>2136</v>
      </c>
      <c r="E111" t="s">
        <v>2386</v>
      </c>
      <c r="F111" s="66" t="s">
        <v>2383</v>
      </c>
      <c r="G111" s="66" t="s">
        <v>2383</v>
      </c>
      <c r="H111" s="93" t="s">
        <v>2383</v>
      </c>
    </row>
    <row r="112" spans="1:9" hidden="1">
      <c r="A112" s="69" t="s">
        <v>2644</v>
      </c>
      <c r="B112" t="s">
        <v>59</v>
      </c>
      <c r="C112" t="s">
        <v>2388</v>
      </c>
      <c r="D112" t="s">
        <v>2136</v>
      </c>
      <c r="E112" t="s">
        <v>2382</v>
      </c>
      <c r="F112" s="66" t="s">
        <v>2383</v>
      </c>
      <c r="G112" s="66" t="s">
        <v>2383</v>
      </c>
      <c r="H112" s="93" t="s">
        <v>2383</v>
      </c>
    </row>
    <row r="113" spans="1:9" hidden="1">
      <c r="A113" s="79" t="s">
        <v>2645</v>
      </c>
      <c r="B113" s="86" t="s">
        <v>82</v>
      </c>
      <c r="C113" s="86" t="s">
        <v>2388</v>
      </c>
      <c r="D113" s="86" t="s">
        <v>2136</v>
      </c>
      <c r="E113" s="86" t="s">
        <v>2386</v>
      </c>
      <c r="F113" s="66" t="s">
        <v>2383</v>
      </c>
      <c r="G113" s="66"/>
      <c r="H113" s="94" t="s">
        <v>2383</v>
      </c>
      <c r="I113" t="s">
        <v>2646</v>
      </c>
    </row>
    <row r="114" spans="1:9" hidden="1">
      <c r="A114" s="79" t="s">
        <v>2647</v>
      </c>
      <c r="B114" s="86" t="s">
        <v>82</v>
      </c>
      <c r="C114" s="86" t="s">
        <v>2388</v>
      </c>
      <c r="D114" s="86" t="s">
        <v>2136</v>
      </c>
      <c r="E114" s="86" t="s">
        <v>2382</v>
      </c>
      <c r="F114" s="66" t="s">
        <v>2383</v>
      </c>
      <c r="G114" s="66"/>
      <c r="H114" s="94" t="s">
        <v>2383</v>
      </c>
      <c r="I114" t="s">
        <v>2646</v>
      </c>
    </row>
    <row r="115" spans="1:9" ht="29.1" hidden="1">
      <c r="A115" s="69" t="s">
        <v>2648</v>
      </c>
      <c r="B115" t="s">
        <v>82</v>
      </c>
      <c r="C115" t="s">
        <v>288</v>
      </c>
      <c r="D115" t="s">
        <v>49</v>
      </c>
      <c r="E115" t="s">
        <v>2405</v>
      </c>
      <c r="F115" s="66" t="s">
        <v>2383</v>
      </c>
      <c r="G115" s="66" t="s">
        <v>2383</v>
      </c>
      <c r="H115" s="93" t="s">
        <v>2383</v>
      </c>
    </row>
    <row r="116" spans="1:9" hidden="1">
      <c r="A116" s="69" t="s">
        <v>2649</v>
      </c>
      <c r="B116" t="s">
        <v>82</v>
      </c>
      <c r="C116" t="s">
        <v>288</v>
      </c>
      <c r="D116" t="s">
        <v>49</v>
      </c>
      <c r="E116" t="s">
        <v>2405</v>
      </c>
      <c r="F116" s="66" t="s">
        <v>2383</v>
      </c>
      <c r="G116" s="66" t="s">
        <v>2383</v>
      </c>
      <c r="H116" s="93" t="s">
        <v>2383</v>
      </c>
    </row>
    <row r="117" spans="1:9" hidden="1">
      <c r="A117" s="69" t="s">
        <v>2650</v>
      </c>
      <c r="B117" t="s">
        <v>89</v>
      </c>
      <c r="C117" t="s">
        <v>288</v>
      </c>
      <c r="D117" t="s">
        <v>2136</v>
      </c>
      <c r="E117" t="s">
        <v>2382</v>
      </c>
      <c r="F117" s="66" t="s">
        <v>2383</v>
      </c>
      <c r="G117" s="66" t="s">
        <v>2383</v>
      </c>
      <c r="H117" s="93" t="s">
        <v>2383</v>
      </c>
      <c r="I117" t="s">
        <v>2651</v>
      </c>
    </row>
    <row r="118" spans="1:9" ht="43.5" hidden="1">
      <c r="A118" s="69" t="s">
        <v>2652</v>
      </c>
      <c r="B118" t="s">
        <v>82</v>
      </c>
      <c r="C118" t="s">
        <v>2388</v>
      </c>
      <c r="D118" t="s">
        <v>2136</v>
      </c>
      <c r="E118" t="s">
        <v>2382</v>
      </c>
      <c r="F118" s="66" t="s">
        <v>2383</v>
      </c>
      <c r="G118" s="66" t="s">
        <v>2383</v>
      </c>
      <c r="H118" s="94" t="s">
        <v>2383</v>
      </c>
      <c r="I118" s="90" t="s">
        <v>2653</v>
      </c>
    </row>
    <row r="119" spans="1:9" hidden="1">
      <c r="A119" s="69" t="s">
        <v>2654</v>
      </c>
      <c r="B119" t="s">
        <v>82</v>
      </c>
      <c r="C119" t="s">
        <v>2388</v>
      </c>
      <c r="D119" t="s">
        <v>2136</v>
      </c>
      <c r="E119" t="s">
        <v>2382</v>
      </c>
      <c r="F119" s="66" t="s">
        <v>2383</v>
      </c>
      <c r="G119" s="66" t="s">
        <v>2383</v>
      </c>
      <c r="H119" s="93" t="s">
        <v>2383</v>
      </c>
    </row>
    <row r="120" spans="1:9" ht="29.1" hidden="1">
      <c r="A120" s="69" t="s">
        <v>2655</v>
      </c>
      <c r="B120" t="s">
        <v>89</v>
      </c>
      <c r="C120" t="s">
        <v>288</v>
      </c>
      <c r="D120" t="s">
        <v>2136</v>
      </c>
      <c r="E120" t="s">
        <v>2382</v>
      </c>
      <c r="F120" s="66" t="s">
        <v>2383</v>
      </c>
      <c r="G120" s="66" t="s">
        <v>2383</v>
      </c>
      <c r="H120" s="93" t="s">
        <v>2383</v>
      </c>
    </row>
    <row r="121" spans="1:9" hidden="1">
      <c r="A121" s="69" t="s">
        <v>2656</v>
      </c>
      <c r="B121" t="s">
        <v>89</v>
      </c>
      <c r="C121" t="s">
        <v>2388</v>
      </c>
      <c r="D121" t="s">
        <v>2136</v>
      </c>
      <c r="E121" t="s">
        <v>2382</v>
      </c>
      <c r="F121" s="66" t="s">
        <v>2383</v>
      </c>
      <c r="G121" s="66" t="s">
        <v>2383</v>
      </c>
      <c r="H121" s="93" t="s">
        <v>2383</v>
      </c>
    </row>
    <row r="122" spans="1:9" hidden="1">
      <c r="A122" s="69" t="s">
        <v>2657</v>
      </c>
      <c r="B122" t="s">
        <v>89</v>
      </c>
      <c r="C122" t="s">
        <v>2388</v>
      </c>
      <c r="D122" t="s">
        <v>2136</v>
      </c>
      <c r="E122" t="s">
        <v>2382</v>
      </c>
      <c r="F122" s="66" t="s">
        <v>2383</v>
      </c>
      <c r="G122" s="66" t="s">
        <v>2383</v>
      </c>
      <c r="H122" s="94" t="s">
        <v>2383</v>
      </c>
    </row>
    <row r="123" spans="1:9" hidden="1">
      <c r="A123" s="69" t="s">
        <v>2658</v>
      </c>
      <c r="B123" t="s">
        <v>89</v>
      </c>
      <c r="C123" t="s">
        <v>288</v>
      </c>
      <c r="D123" t="s">
        <v>49</v>
      </c>
      <c r="E123" t="s">
        <v>284</v>
      </c>
      <c r="F123" s="66" t="s">
        <v>2383</v>
      </c>
      <c r="G123" s="66" t="s">
        <v>2383</v>
      </c>
      <c r="H123" s="93" t="s">
        <v>2383</v>
      </c>
    </row>
    <row r="124" spans="1:9" hidden="1">
      <c r="A124" s="69" t="s">
        <v>2659</v>
      </c>
      <c r="B124" t="s">
        <v>89</v>
      </c>
      <c r="C124" t="s">
        <v>288</v>
      </c>
      <c r="D124" t="s">
        <v>49</v>
      </c>
      <c r="E124" t="s">
        <v>284</v>
      </c>
      <c r="F124" s="66" t="s">
        <v>2383</v>
      </c>
      <c r="G124" s="66" t="s">
        <v>2383</v>
      </c>
      <c r="H124" s="93" t="s">
        <v>2383</v>
      </c>
      <c r="I124" t="s">
        <v>2660</v>
      </c>
    </row>
    <row r="125" spans="1:9" ht="29.1" hidden="1">
      <c r="A125" s="69" t="s">
        <v>2661</v>
      </c>
      <c r="B125" t="s">
        <v>89</v>
      </c>
      <c r="C125" t="s">
        <v>288</v>
      </c>
      <c r="D125" t="s">
        <v>49</v>
      </c>
      <c r="E125" t="s">
        <v>284</v>
      </c>
      <c r="F125" s="66" t="s">
        <v>2383</v>
      </c>
      <c r="G125" s="66" t="s">
        <v>2383</v>
      </c>
      <c r="H125" s="93" t="s">
        <v>2383</v>
      </c>
    </row>
    <row r="126" spans="1:9" ht="29.1" hidden="1">
      <c r="A126" s="69" t="s">
        <v>2662</v>
      </c>
      <c r="B126" t="s">
        <v>89</v>
      </c>
      <c r="C126" t="s">
        <v>288</v>
      </c>
      <c r="D126" t="s">
        <v>49</v>
      </c>
      <c r="E126" t="s">
        <v>2405</v>
      </c>
      <c r="F126" s="66" t="s">
        <v>2383</v>
      </c>
      <c r="G126" s="66" t="s">
        <v>2383</v>
      </c>
      <c r="H126" s="93" t="s">
        <v>2383</v>
      </c>
      <c r="I126" t="s">
        <v>2663</v>
      </c>
    </row>
    <row r="127" spans="1:9" ht="29.1" hidden="1">
      <c r="A127" s="69" t="s">
        <v>2664</v>
      </c>
      <c r="B127" t="s">
        <v>89</v>
      </c>
      <c r="C127" t="s">
        <v>288</v>
      </c>
      <c r="D127" t="s">
        <v>49</v>
      </c>
      <c r="E127" t="s">
        <v>2405</v>
      </c>
      <c r="F127" s="66" t="s">
        <v>2383</v>
      </c>
      <c r="G127" s="66" t="s">
        <v>2383</v>
      </c>
      <c r="H127" s="93" t="s">
        <v>2383</v>
      </c>
    </row>
    <row r="128" spans="1:9" ht="101.45" hidden="1">
      <c r="A128" s="69" t="s">
        <v>2665</v>
      </c>
      <c r="B128" t="s">
        <v>59</v>
      </c>
      <c r="C128" t="s">
        <v>288</v>
      </c>
      <c r="D128" t="s">
        <v>49</v>
      </c>
      <c r="E128" t="s">
        <v>2405</v>
      </c>
      <c r="F128" t="s">
        <v>2383</v>
      </c>
      <c r="G128" t="s">
        <v>2383</v>
      </c>
      <c r="H128" s="94" t="s">
        <v>2383</v>
      </c>
    </row>
    <row r="129" spans="1:9" hidden="1">
      <c r="A129" s="69" t="s">
        <v>2666</v>
      </c>
      <c r="B129" t="s">
        <v>59</v>
      </c>
      <c r="C129" t="s">
        <v>741</v>
      </c>
      <c r="D129" t="s">
        <v>2136</v>
      </c>
      <c r="E129" t="s">
        <v>2667</v>
      </c>
      <c r="F129" s="66" t="s">
        <v>2383</v>
      </c>
      <c r="G129" s="66" t="s">
        <v>2383</v>
      </c>
      <c r="H129" s="93" t="s">
        <v>2383</v>
      </c>
    </row>
    <row r="130" spans="1:9" ht="57.95" hidden="1">
      <c r="A130" s="69" t="s">
        <v>2668</v>
      </c>
      <c r="B130" t="s">
        <v>82</v>
      </c>
      <c r="C130" t="s">
        <v>741</v>
      </c>
      <c r="D130" t="s">
        <v>49</v>
      </c>
      <c r="E130" t="s">
        <v>2427</v>
      </c>
      <c r="F130" s="66" t="s">
        <v>2383</v>
      </c>
      <c r="G130" s="66" t="s">
        <v>2383</v>
      </c>
      <c r="H130" s="94" t="s">
        <v>2383</v>
      </c>
    </row>
    <row r="131" spans="1:9" hidden="1">
      <c r="A131" s="69" t="s">
        <v>2669</v>
      </c>
      <c r="B131" t="s">
        <v>82</v>
      </c>
      <c r="C131" t="s">
        <v>288</v>
      </c>
      <c r="D131" t="s">
        <v>49</v>
      </c>
      <c r="E131" t="s">
        <v>2405</v>
      </c>
      <c r="F131" s="66" t="s">
        <v>2383</v>
      </c>
      <c r="G131" s="66" t="s">
        <v>2383</v>
      </c>
      <c r="H131" s="94" t="s">
        <v>2383</v>
      </c>
    </row>
    <row r="132" spans="1:9" hidden="1">
      <c r="A132" s="69" t="s">
        <v>2670</v>
      </c>
      <c r="B132" t="s">
        <v>59</v>
      </c>
      <c r="C132" t="s">
        <v>2412</v>
      </c>
      <c r="D132" t="s">
        <v>49</v>
      </c>
      <c r="E132" t="s">
        <v>1546</v>
      </c>
      <c r="F132" s="66" t="s">
        <v>2383</v>
      </c>
      <c r="G132" s="66" t="s">
        <v>2383</v>
      </c>
      <c r="H132" s="93" t="s">
        <v>2383</v>
      </c>
    </row>
    <row r="133" spans="1:9" hidden="1">
      <c r="A133" s="69" t="s">
        <v>2671</v>
      </c>
      <c r="B133" t="s">
        <v>82</v>
      </c>
      <c r="C133" t="s">
        <v>2412</v>
      </c>
      <c r="D133" t="s">
        <v>49</v>
      </c>
      <c r="E133" t="s">
        <v>1546</v>
      </c>
      <c r="F133" s="66" t="s">
        <v>2383</v>
      </c>
      <c r="G133" s="66" t="s">
        <v>2383</v>
      </c>
      <c r="H133" s="93" t="s">
        <v>2383</v>
      </c>
    </row>
    <row r="134" spans="1:9" hidden="1">
      <c r="A134" s="69" t="s">
        <v>2672</v>
      </c>
      <c r="B134" t="s">
        <v>89</v>
      </c>
      <c r="C134" t="s">
        <v>2412</v>
      </c>
      <c r="D134" t="s">
        <v>49</v>
      </c>
      <c r="E134" t="s">
        <v>1546</v>
      </c>
      <c r="F134" s="66" t="s">
        <v>2383</v>
      </c>
      <c r="G134" s="66" t="s">
        <v>2383</v>
      </c>
      <c r="H134" s="93" t="s">
        <v>2383</v>
      </c>
    </row>
    <row r="135" spans="1:9" ht="290.10000000000002" hidden="1">
      <c r="A135" s="69" t="s">
        <v>2673</v>
      </c>
      <c r="B135" t="s">
        <v>89</v>
      </c>
      <c r="C135" t="s">
        <v>2412</v>
      </c>
      <c r="D135" t="s">
        <v>49</v>
      </c>
      <c r="E135" t="s">
        <v>1546</v>
      </c>
      <c r="F135" s="66" t="s">
        <v>2383</v>
      </c>
      <c r="G135" s="66" t="s">
        <v>2383</v>
      </c>
      <c r="H135" s="93" t="s">
        <v>2383</v>
      </c>
    </row>
    <row r="136" spans="1:9" hidden="1">
      <c r="A136" s="69" t="s">
        <v>2674</v>
      </c>
      <c r="B136" t="s">
        <v>89</v>
      </c>
      <c r="C136" t="s">
        <v>2412</v>
      </c>
      <c r="D136" t="s">
        <v>49</v>
      </c>
      <c r="E136" t="s">
        <v>1546</v>
      </c>
      <c r="F136" s="66" t="s">
        <v>2383</v>
      </c>
      <c r="G136" s="66" t="s">
        <v>2383</v>
      </c>
      <c r="H136" s="93" t="s">
        <v>2383</v>
      </c>
    </row>
    <row r="137" spans="1:9" hidden="1">
      <c r="A137" s="69" t="s">
        <v>2675</v>
      </c>
      <c r="B137" t="s">
        <v>89</v>
      </c>
      <c r="C137" t="s">
        <v>288</v>
      </c>
      <c r="D137" t="s">
        <v>49</v>
      </c>
      <c r="E137" t="s">
        <v>284</v>
      </c>
      <c r="F137" s="66" t="s">
        <v>2383</v>
      </c>
      <c r="G137" s="66" t="s">
        <v>2383</v>
      </c>
      <c r="H137" s="93" t="s">
        <v>2383</v>
      </c>
    </row>
    <row r="138" spans="1:9" ht="29.1" hidden="1">
      <c r="A138" s="79" t="s">
        <v>2676</v>
      </c>
      <c r="B138" s="86" t="s">
        <v>89</v>
      </c>
      <c r="C138" s="86" t="s">
        <v>288</v>
      </c>
      <c r="D138" s="86" t="s">
        <v>49</v>
      </c>
      <c r="E138" s="86" t="s">
        <v>2405</v>
      </c>
      <c r="F138" s="88" t="s">
        <v>2383</v>
      </c>
      <c r="G138" s="88"/>
      <c r="H138" s="94" t="s">
        <v>2383</v>
      </c>
      <c r="I138" s="86"/>
    </row>
    <row r="139" spans="1:9" ht="116.1" hidden="1">
      <c r="A139" s="69" t="s">
        <v>2677</v>
      </c>
      <c r="B139" t="s">
        <v>89</v>
      </c>
      <c r="C139" t="s">
        <v>288</v>
      </c>
      <c r="D139" t="s">
        <v>2136</v>
      </c>
      <c r="E139" t="s">
        <v>2382</v>
      </c>
      <c r="F139" s="66" t="s">
        <v>2383</v>
      </c>
      <c r="G139" s="66" t="s">
        <v>2383</v>
      </c>
      <c r="H139" s="93" t="s">
        <v>2383</v>
      </c>
    </row>
    <row r="140" spans="1:9" hidden="1">
      <c r="A140" s="69" t="s">
        <v>2678</v>
      </c>
      <c r="B140" t="s">
        <v>89</v>
      </c>
      <c r="C140" t="s">
        <v>288</v>
      </c>
      <c r="D140" t="s">
        <v>2136</v>
      </c>
      <c r="E140" t="s">
        <v>2382</v>
      </c>
      <c r="F140" s="66" t="s">
        <v>2383</v>
      </c>
      <c r="G140" s="66" t="s">
        <v>2383</v>
      </c>
      <c r="H140" s="94" t="s">
        <v>2383</v>
      </c>
    </row>
    <row r="141" spans="1:9" hidden="1">
      <c r="A141" t="s">
        <v>2679</v>
      </c>
      <c r="B141" t="s">
        <v>89</v>
      </c>
      <c r="C141" t="s">
        <v>288</v>
      </c>
      <c r="D141" t="s">
        <v>49</v>
      </c>
      <c r="E141" t="s">
        <v>2680</v>
      </c>
      <c r="F141" s="66" t="s">
        <v>2383</v>
      </c>
      <c r="G141" s="66" t="s">
        <v>2383</v>
      </c>
      <c r="H141" s="93" t="s">
        <v>2383</v>
      </c>
    </row>
    <row r="142" spans="1:9" hidden="1">
      <c r="A142" t="s">
        <v>2681</v>
      </c>
      <c r="B142" t="s">
        <v>89</v>
      </c>
      <c r="C142" t="s">
        <v>288</v>
      </c>
      <c r="D142" t="s">
        <v>49</v>
      </c>
      <c r="E142" t="s">
        <v>2680</v>
      </c>
      <c r="F142" s="66" t="s">
        <v>2383</v>
      </c>
      <c r="G142" s="66" t="s">
        <v>2383</v>
      </c>
      <c r="H142" s="93" t="s">
        <v>2383</v>
      </c>
    </row>
    <row r="143" spans="1:9" ht="43.5" hidden="1">
      <c r="A143" s="69" t="s">
        <v>2682</v>
      </c>
      <c r="B143" t="s">
        <v>89</v>
      </c>
      <c r="C143" t="s">
        <v>288</v>
      </c>
      <c r="D143" t="s">
        <v>49</v>
      </c>
      <c r="E143" t="s">
        <v>2416</v>
      </c>
      <c r="F143" s="66" t="s">
        <v>2383</v>
      </c>
      <c r="G143" s="66" t="s">
        <v>2383</v>
      </c>
      <c r="H143" s="94" t="s">
        <v>2383</v>
      </c>
    </row>
    <row r="144" spans="1:9" hidden="1">
      <c r="A144" s="69" t="s">
        <v>2683</v>
      </c>
      <c r="B144" t="s">
        <v>59</v>
      </c>
      <c r="C144" t="s">
        <v>288</v>
      </c>
      <c r="D144" t="s">
        <v>49</v>
      </c>
      <c r="E144" t="s">
        <v>2405</v>
      </c>
      <c r="F144" s="66" t="s">
        <v>2383</v>
      </c>
      <c r="G144" s="66" t="s">
        <v>2383</v>
      </c>
      <c r="H144" s="93" t="s">
        <v>2383</v>
      </c>
    </row>
    <row r="145" spans="1:9" hidden="1">
      <c r="A145" s="69" t="s">
        <v>2684</v>
      </c>
      <c r="B145" t="s">
        <v>82</v>
      </c>
      <c r="C145" t="s">
        <v>741</v>
      </c>
      <c r="D145" t="s">
        <v>2483</v>
      </c>
      <c r="E145" t="s">
        <v>228</v>
      </c>
      <c r="F145" s="66" t="s">
        <v>2383</v>
      </c>
      <c r="G145" s="66" t="s">
        <v>2383</v>
      </c>
      <c r="H145" s="93" t="s">
        <v>2383</v>
      </c>
    </row>
    <row r="146" spans="1:9" hidden="1">
      <c r="A146" s="69" t="s">
        <v>2685</v>
      </c>
      <c r="B146" t="s">
        <v>82</v>
      </c>
      <c r="C146" t="s">
        <v>741</v>
      </c>
      <c r="D146" t="s">
        <v>2483</v>
      </c>
      <c r="E146" t="s">
        <v>228</v>
      </c>
      <c r="F146" s="66" t="s">
        <v>2383</v>
      </c>
      <c r="G146" s="66" t="s">
        <v>2383</v>
      </c>
      <c r="H146" s="93" t="s">
        <v>2383</v>
      </c>
    </row>
    <row r="147" spans="1:9" hidden="1">
      <c r="A147" s="69" t="s">
        <v>2686</v>
      </c>
      <c r="B147" t="s">
        <v>82</v>
      </c>
      <c r="C147" t="s">
        <v>288</v>
      </c>
      <c r="D147" t="s">
        <v>49</v>
      </c>
      <c r="E147" t="s">
        <v>284</v>
      </c>
      <c r="F147" s="66" t="s">
        <v>2383</v>
      </c>
      <c r="G147" s="66" t="s">
        <v>2687</v>
      </c>
      <c r="H147" s="94" t="s">
        <v>2383</v>
      </c>
    </row>
    <row r="148" spans="1:9" hidden="1">
      <c r="A148" s="69" t="s">
        <v>2688</v>
      </c>
      <c r="B148" t="s">
        <v>82</v>
      </c>
      <c r="C148" t="s">
        <v>288</v>
      </c>
      <c r="D148" t="s">
        <v>49</v>
      </c>
      <c r="E148" t="s">
        <v>2405</v>
      </c>
      <c r="F148" s="66" t="s">
        <v>2383</v>
      </c>
      <c r="G148" s="66" t="s">
        <v>2383</v>
      </c>
      <c r="H148" s="94" t="s">
        <v>2383</v>
      </c>
    </row>
    <row r="149" spans="1:9" hidden="1">
      <c r="A149" s="69" t="s">
        <v>2689</v>
      </c>
      <c r="B149" t="s">
        <v>89</v>
      </c>
      <c r="C149" t="s">
        <v>2412</v>
      </c>
      <c r="D149" t="s">
        <v>49</v>
      </c>
      <c r="E149" t="s">
        <v>1546</v>
      </c>
      <c r="F149" s="66" t="s">
        <v>2383</v>
      </c>
      <c r="G149" s="66" t="s">
        <v>2383</v>
      </c>
      <c r="H149" s="93" t="s">
        <v>2383</v>
      </c>
      <c r="I149" s="84">
        <v>46211</v>
      </c>
    </row>
    <row r="150" spans="1:9" hidden="1">
      <c r="A150" s="69" t="s">
        <v>2690</v>
      </c>
      <c r="B150" t="s">
        <v>59</v>
      </c>
      <c r="C150" t="s">
        <v>2412</v>
      </c>
      <c r="D150" t="s">
        <v>49</v>
      </c>
      <c r="E150" t="s">
        <v>1546</v>
      </c>
      <c r="F150" s="66" t="s">
        <v>2383</v>
      </c>
      <c r="G150" s="66" t="s">
        <v>2383</v>
      </c>
      <c r="H150" s="93" t="s">
        <v>2383</v>
      </c>
    </row>
    <row r="151" spans="1:9" hidden="1">
      <c r="A151" s="69" t="s">
        <v>2691</v>
      </c>
      <c r="B151" t="s">
        <v>89</v>
      </c>
      <c r="C151" t="s">
        <v>2412</v>
      </c>
      <c r="D151" t="s">
        <v>49</v>
      </c>
      <c r="E151" t="s">
        <v>1546</v>
      </c>
      <c r="F151" s="66" t="s">
        <v>2383</v>
      </c>
      <c r="G151" s="66" t="s">
        <v>2383</v>
      </c>
      <c r="H151" s="93" t="s">
        <v>2383</v>
      </c>
    </row>
    <row r="152" spans="1:9" hidden="1">
      <c r="A152" s="69" t="s">
        <v>2692</v>
      </c>
      <c r="B152" t="s">
        <v>59</v>
      </c>
      <c r="C152" t="s">
        <v>2412</v>
      </c>
      <c r="D152" t="s">
        <v>49</v>
      </c>
      <c r="E152" t="s">
        <v>1546</v>
      </c>
      <c r="F152" s="66" t="s">
        <v>2383</v>
      </c>
      <c r="G152" s="66" t="s">
        <v>2383</v>
      </c>
      <c r="H152" s="93" t="s">
        <v>2383</v>
      </c>
    </row>
    <row r="153" spans="1:9" hidden="1">
      <c r="A153" s="69" t="s">
        <v>2693</v>
      </c>
      <c r="B153" t="s">
        <v>82</v>
      </c>
      <c r="C153" t="s">
        <v>2388</v>
      </c>
      <c r="D153" t="s">
        <v>2136</v>
      </c>
      <c r="E153" t="s">
        <v>2382</v>
      </c>
      <c r="F153" s="66" t="s">
        <v>2383</v>
      </c>
      <c r="G153" s="66" t="s">
        <v>2383</v>
      </c>
      <c r="H153" s="93" t="s">
        <v>2383</v>
      </c>
    </row>
    <row r="154" spans="1:9" hidden="1">
      <c r="A154" s="69" t="s">
        <v>2691</v>
      </c>
      <c r="B154" t="s">
        <v>89</v>
      </c>
      <c r="C154" t="s">
        <v>288</v>
      </c>
      <c r="D154" t="s">
        <v>49</v>
      </c>
      <c r="E154" t="s">
        <v>610</v>
      </c>
      <c r="F154" s="66" t="s">
        <v>2383</v>
      </c>
      <c r="G154" s="66" t="s">
        <v>2383</v>
      </c>
      <c r="H154" s="93" t="s">
        <v>2383</v>
      </c>
    </row>
    <row r="155" spans="1:9" hidden="1">
      <c r="A155" s="69" t="s">
        <v>2691</v>
      </c>
      <c r="B155" t="s">
        <v>89</v>
      </c>
      <c r="C155" t="s">
        <v>2412</v>
      </c>
      <c r="D155" t="s">
        <v>49</v>
      </c>
      <c r="E155" t="s">
        <v>2416</v>
      </c>
      <c r="F155" s="66" t="s">
        <v>2383</v>
      </c>
      <c r="G155" s="66" t="s">
        <v>2383</v>
      </c>
      <c r="H155" s="93" t="s">
        <v>2383</v>
      </c>
    </row>
    <row r="156" spans="1:9" hidden="1">
      <c r="A156" s="69" t="s">
        <v>2694</v>
      </c>
      <c r="B156" t="s">
        <v>89</v>
      </c>
      <c r="C156" t="s">
        <v>288</v>
      </c>
      <c r="D156" t="s">
        <v>49</v>
      </c>
      <c r="E156" t="s">
        <v>1779</v>
      </c>
      <c r="F156" s="66" t="s">
        <v>2383</v>
      </c>
      <c r="G156" s="66" t="s">
        <v>2383</v>
      </c>
      <c r="H156" s="93" t="s">
        <v>2383</v>
      </c>
    </row>
    <row r="157" spans="1:9" ht="203.1" hidden="1">
      <c r="A157" s="69" t="s">
        <v>2695</v>
      </c>
      <c r="B157" t="s">
        <v>59</v>
      </c>
      <c r="C157" t="s">
        <v>288</v>
      </c>
      <c r="D157" t="s">
        <v>49</v>
      </c>
      <c r="E157" t="s">
        <v>610</v>
      </c>
      <c r="F157" s="66" t="s">
        <v>2383</v>
      </c>
      <c r="G157" s="66" t="s">
        <v>2383</v>
      </c>
      <c r="H157" s="93" t="s">
        <v>2383</v>
      </c>
    </row>
    <row r="158" spans="1:9" ht="29.1" hidden="1">
      <c r="A158" s="69" t="s">
        <v>2696</v>
      </c>
      <c r="B158" t="s">
        <v>89</v>
      </c>
      <c r="C158" t="s">
        <v>288</v>
      </c>
      <c r="D158" t="s">
        <v>2136</v>
      </c>
      <c r="E158" t="s">
        <v>2382</v>
      </c>
      <c r="F158" s="66" t="s">
        <v>2383</v>
      </c>
      <c r="G158" s="66" t="s">
        <v>2383</v>
      </c>
      <c r="H158" s="93" t="s">
        <v>2383</v>
      </c>
    </row>
    <row r="159" spans="1:9" hidden="1">
      <c r="A159" s="69" t="s">
        <v>2697</v>
      </c>
      <c r="B159" t="s">
        <v>89</v>
      </c>
      <c r="C159" t="s">
        <v>2388</v>
      </c>
      <c r="D159" t="s">
        <v>49</v>
      </c>
      <c r="E159" t="s">
        <v>2405</v>
      </c>
      <c r="F159" t="s">
        <v>2383</v>
      </c>
      <c r="G159" t="s">
        <v>2383</v>
      </c>
      <c r="H159" s="94" t="s">
        <v>2383</v>
      </c>
    </row>
    <row r="160" spans="1:9" hidden="1">
      <c r="A160" s="69" t="s">
        <v>2698</v>
      </c>
      <c r="B160" t="s">
        <v>89</v>
      </c>
      <c r="C160" t="s">
        <v>2388</v>
      </c>
      <c r="D160" t="s">
        <v>49</v>
      </c>
      <c r="E160" t="s">
        <v>2405</v>
      </c>
      <c r="F160" t="s">
        <v>2383</v>
      </c>
      <c r="G160" t="s">
        <v>2383</v>
      </c>
      <c r="H160" s="94" t="s">
        <v>2383</v>
      </c>
    </row>
    <row r="161" spans="1:9" ht="29.1" hidden="1">
      <c r="A161" s="69" t="s">
        <v>2699</v>
      </c>
      <c r="B161" t="s">
        <v>59</v>
      </c>
      <c r="C161" t="s">
        <v>2412</v>
      </c>
      <c r="D161" t="s">
        <v>49</v>
      </c>
      <c r="E161" t="s">
        <v>1546</v>
      </c>
      <c r="F161" s="66" t="s">
        <v>2383</v>
      </c>
      <c r="G161" s="66" t="s">
        <v>2383</v>
      </c>
      <c r="H161" s="93" t="s">
        <v>2383</v>
      </c>
    </row>
    <row r="162" spans="1:9" hidden="1">
      <c r="A162" s="69" t="s">
        <v>2700</v>
      </c>
      <c r="B162" t="s">
        <v>82</v>
      </c>
      <c r="C162" t="s">
        <v>741</v>
      </c>
      <c r="D162" t="s">
        <v>2483</v>
      </c>
      <c r="E162" t="s">
        <v>228</v>
      </c>
      <c r="F162" s="66" t="s">
        <v>2383</v>
      </c>
      <c r="G162" s="66" t="s">
        <v>2383</v>
      </c>
      <c r="H162" s="93" t="s">
        <v>2383</v>
      </c>
    </row>
    <row r="163" spans="1:9" hidden="1">
      <c r="A163" s="69" t="s">
        <v>2701</v>
      </c>
      <c r="B163" t="s">
        <v>82</v>
      </c>
      <c r="C163" t="s">
        <v>288</v>
      </c>
      <c r="D163" t="s">
        <v>2136</v>
      </c>
      <c r="E163" t="s">
        <v>2382</v>
      </c>
      <c r="F163" s="66" t="s">
        <v>2383</v>
      </c>
      <c r="G163" s="66" t="s">
        <v>2383</v>
      </c>
      <c r="H163" s="93" t="s">
        <v>2383</v>
      </c>
    </row>
    <row r="164" spans="1:9" hidden="1">
      <c r="A164" s="69" t="s">
        <v>2702</v>
      </c>
      <c r="B164" t="s">
        <v>82</v>
      </c>
      <c r="C164" t="s">
        <v>2412</v>
      </c>
      <c r="D164" t="s">
        <v>49</v>
      </c>
      <c r="E164" t="s">
        <v>1546</v>
      </c>
      <c r="F164" s="66" t="s">
        <v>2383</v>
      </c>
      <c r="G164" s="66" t="s">
        <v>2383</v>
      </c>
      <c r="H164" s="93" t="s">
        <v>2383</v>
      </c>
    </row>
    <row r="165" spans="1:9" hidden="1">
      <c r="A165" t="s">
        <v>2703</v>
      </c>
      <c r="B165" t="s">
        <v>82</v>
      </c>
      <c r="C165" t="s">
        <v>288</v>
      </c>
      <c r="D165" t="s">
        <v>49</v>
      </c>
      <c r="E165" t="s">
        <v>610</v>
      </c>
      <c r="F165" s="66" t="s">
        <v>2383</v>
      </c>
      <c r="G165" s="66" t="s">
        <v>2383</v>
      </c>
      <c r="H165" s="93" t="s">
        <v>2383</v>
      </c>
    </row>
    <row r="166" spans="1:9" ht="159.6" hidden="1">
      <c r="A166" s="69" t="s">
        <v>2704</v>
      </c>
      <c r="B166" t="s">
        <v>89</v>
      </c>
      <c r="C166" t="s">
        <v>288</v>
      </c>
      <c r="D166" t="s">
        <v>49</v>
      </c>
      <c r="E166" t="s">
        <v>2416</v>
      </c>
      <c r="F166" s="66" t="s">
        <v>2383</v>
      </c>
      <c r="G166" s="66" t="s">
        <v>2383</v>
      </c>
      <c r="H166" s="93" t="s">
        <v>2383</v>
      </c>
    </row>
    <row r="167" spans="1:9" ht="29.1" hidden="1">
      <c r="A167" s="69" t="s">
        <v>2705</v>
      </c>
      <c r="B167" t="s">
        <v>89</v>
      </c>
      <c r="C167" t="s">
        <v>288</v>
      </c>
      <c r="D167" t="s">
        <v>49</v>
      </c>
      <c r="E167" t="s">
        <v>2416</v>
      </c>
      <c r="F167" s="66" t="s">
        <v>2383</v>
      </c>
      <c r="G167" s="66" t="s">
        <v>2383</v>
      </c>
      <c r="H167" s="93" t="s">
        <v>2383</v>
      </c>
    </row>
    <row r="168" spans="1:9" hidden="1">
      <c r="A168" s="69" t="s">
        <v>2706</v>
      </c>
      <c r="B168" t="s">
        <v>82</v>
      </c>
      <c r="C168" t="s">
        <v>288</v>
      </c>
      <c r="D168" t="s">
        <v>2136</v>
      </c>
      <c r="E168" t="s">
        <v>2382</v>
      </c>
      <c r="F168" s="66" t="s">
        <v>2383</v>
      </c>
      <c r="G168" s="66" t="s">
        <v>2687</v>
      </c>
      <c r="H168" s="94" t="s">
        <v>2383</v>
      </c>
      <c r="I168" s="66"/>
    </row>
    <row r="169" spans="1:9" hidden="1">
      <c r="A169" t="s">
        <v>2707</v>
      </c>
      <c r="B169" t="s">
        <v>89</v>
      </c>
      <c r="C169" t="s">
        <v>288</v>
      </c>
      <c r="D169" t="s">
        <v>49</v>
      </c>
      <c r="E169" t="s">
        <v>1779</v>
      </c>
      <c r="F169" s="66" t="s">
        <v>2383</v>
      </c>
      <c r="G169" s="66" t="s">
        <v>2383</v>
      </c>
      <c r="H169" s="93" t="s">
        <v>2383</v>
      </c>
    </row>
    <row r="170" spans="1:9" hidden="1">
      <c r="A170" t="s">
        <v>2708</v>
      </c>
      <c r="B170" t="s">
        <v>89</v>
      </c>
      <c r="C170" t="s">
        <v>288</v>
      </c>
      <c r="D170" t="s">
        <v>49</v>
      </c>
      <c r="E170" t="s">
        <v>1779</v>
      </c>
      <c r="F170" s="66" t="s">
        <v>2383</v>
      </c>
      <c r="G170" s="66" t="s">
        <v>2383</v>
      </c>
      <c r="H170" s="93" t="s">
        <v>2383</v>
      </c>
    </row>
    <row r="171" spans="1:9" hidden="1">
      <c r="A171" t="s">
        <v>2709</v>
      </c>
      <c r="B171" t="s">
        <v>89</v>
      </c>
      <c r="C171" t="s">
        <v>288</v>
      </c>
      <c r="D171" t="s">
        <v>49</v>
      </c>
      <c r="E171" t="s">
        <v>1779</v>
      </c>
      <c r="F171" s="66" t="s">
        <v>2383</v>
      </c>
      <c r="G171" s="66" t="s">
        <v>2383</v>
      </c>
      <c r="H171" s="93" t="s">
        <v>2383</v>
      </c>
    </row>
    <row r="172" spans="1:9" ht="29.1" hidden="1">
      <c r="A172" s="69" t="s">
        <v>2710</v>
      </c>
      <c r="B172" t="s">
        <v>89</v>
      </c>
      <c r="C172" t="s">
        <v>288</v>
      </c>
      <c r="D172" t="s">
        <v>49</v>
      </c>
      <c r="E172" t="s">
        <v>1779</v>
      </c>
      <c r="F172" s="66" t="s">
        <v>2383</v>
      </c>
      <c r="G172" s="66" t="s">
        <v>2383</v>
      </c>
      <c r="H172" s="93" t="s">
        <v>2383</v>
      </c>
    </row>
    <row r="173" spans="1:9" hidden="1">
      <c r="A173" t="s">
        <v>2711</v>
      </c>
      <c r="B173" t="s">
        <v>82</v>
      </c>
      <c r="C173" t="s">
        <v>288</v>
      </c>
      <c r="D173" t="s">
        <v>49</v>
      </c>
      <c r="E173" t="s">
        <v>1779</v>
      </c>
      <c r="F173" s="66" t="s">
        <v>2383</v>
      </c>
      <c r="G173" s="66" t="s">
        <v>2383</v>
      </c>
      <c r="H173" s="93" t="s">
        <v>2383</v>
      </c>
    </row>
    <row r="174" spans="1:9" hidden="1">
      <c r="A174" t="s">
        <v>2712</v>
      </c>
      <c r="B174" t="s">
        <v>82</v>
      </c>
      <c r="C174" t="s">
        <v>288</v>
      </c>
      <c r="D174" t="s">
        <v>49</v>
      </c>
      <c r="E174" t="s">
        <v>1779</v>
      </c>
      <c r="F174" s="66" t="s">
        <v>2383</v>
      </c>
      <c r="G174" s="66" t="s">
        <v>2383</v>
      </c>
      <c r="H174" s="93" t="s">
        <v>2383</v>
      </c>
    </row>
    <row r="175" spans="1:9" hidden="1">
      <c r="A175" t="s">
        <v>2713</v>
      </c>
      <c r="B175" t="s">
        <v>82</v>
      </c>
      <c r="C175" t="s">
        <v>288</v>
      </c>
      <c r="D175" t="s">
        <v>49</v>
      </c>
      <c r="E175" t="s">
        <v>284</v>
      </c>
      <c r="F175" s="66" t="s">
        <v>2383</v>
      </c>
      <c r="G175" s="66" t="s">
        <v>2383</v>
      </c>
      <c r="H175" s="93" t="s">
        <v>2383</v>
      </c>
    </row>
    <row r="176" spans="1:9" hidden="1">
      <c r="A176" t="s">
        <v>2714</v>
      </c>
      <c r="B176" t="s">
        <v>59</v>
      </c>
      <c r="C176" t="s">
        <v>2412</v>
      </c>
      <c r="D176" t="s">
        <v>49</v>
      </c>
      <c r="E176" t="s">
        <v>1546</v>
      </c>
      <c r="F176" s="66" t="s">
        <v>2383</v>
      </c>
      <c r="G176" s="66" t="s">
        <v>2383</v>
      </c>
      <c r="H176" s="93" t="s">
        <v>2383</v>
      </c>
    </row>
    <row r="177" spans="1:9" hidden="1">
      <c r="A177" t="s">
        <v>2715</v>
      </c>
      <c r="B177" t="s">
        <v>82</v>
      </c>
      <c r="C177" t="s">
        <v>288</v>
      </c>
      <c r="D177" t="s">
        <v>49</v>
      </c>
      <c r="E177" t="s">
        <v>2405</v>
      </c>
      <c r="F177" s="66" t="s">
        <v>2383</v>
      </c>
      <c r="G177" s="66" t="s">
        <v>2383</v>
      </c>
      <c r="H177" s="93" t="s">
        <v>2383</v>
      </c>
    </row>
    <row r="178" spans="1:9" hidden="1">
      <c r="A178" t="s">
        <v>2716</v>
      </c>
      <c r="B178" t="s">
        <v>82</v>
      </c>
      <c r="C178" t="s">
        <v>288</v>
      </c>
      <c r="D178" t="s">
        <v>2136</v>
      </c>
      <c r="E178" t="s">
        <v>2386</v>
      </c>
      <c r="F178" s="66" t="s">
        <v>2383</v>
      </c>
      <c r="G178" s="66" t="s">
        <v>2383</v>
      </c>
      <c r="H178" s="93" t="s">
        <v>2383</v>
      </c>
    </row>
    <row r="179" spans="1:9" ht="29.1" hidden="1">
      <c r="A179" s="69" t="s">
        <v>2717</v>
      </c>
      <c r="B179" t="s">
        <v>82</v>
      </c>
      <c r="C179" t="s">
        <v>2388</v>
      </c>
      <c r="D179" t="s">
        <v>2136</v>
      </c>
      <c r="E179" t="s">
        <v>2382</v>
      </c>
      <c r="F179" s="66" t="s">
        <v>2383</v>
      </c>
      <c r="G179" s="66" t="s">
        <v>2383</v>
      </c>
      <c r="H179" s="93" t="s">
        <v>2383</v>
      </c>
    </row>
    <row r="180" spans="1:9" hidden="1">
      <c r="A180" s="69" t="s">
        <v>2718</v>
      </c>
      <c r="B180" t="s">
        <v>59</v>
      </c>
      <c r="C180" t="s">
        <v>741</v>
      </c>
      <c r="D180" t="s">
        <v>2483</v>
      </c>
      <c r="E180" t="s">
        <v>2523</v>
      </c>
      <c r="F180" s="66" t="s">
        <v>2383</v>
      </c>
      <c r="G180" s="66" t="s">
        <v>2383</v>
      </c>
      <c r="H180" s="93" t="s">
        <v>2383</v>
      </c>
    </row>
    <row r="181" spans="1:9" ht="29.1" hidden="1">
      <c r="A181" s="69" t="s">
        <v>2719</v>
      </c>
      <c r="B181" t="s">
        <v>89</v>
      </c>
      <c r="C181" t="s">
        <v>741</v>
      </c>
      <c r="D181" t="s">
        <v>2483</v>
      </c>
      <c r="E181" t="s">
        <v>228</v>
      </c>
      <c r="F181" s="66" t="s">
        <v>2383</v>
      </c>
      <c r="G181" s="66" t="s">
        <v>2383</v>
      </c>
      <c r="H181" s="93" t="s">
        <v>2383</v>
      </c>
    </row>
    <row r="182" spans="1:9" hidden="1">
      <c r="A182" s="69" t="s">
        <v>2720</v>
      </c>
      <c r="B182" t="s">
        <v>82</v>
      </c>
      <c r="C182" t="s">
        <v>288</v>
      </c>
      <c r="D182" t="s">
        <v>49</v>
      </c>
      <c r="E182" t="s">
        <v>2721</v>
      </c>
      <c r="F182" s="66" t="s">
        <v>2383</v>
      </c>
      <c r="G182" s="66" t="s">
        <v>2383</v>
      </c>
      <c r="H182" s="93" t="s">
        <v>2383</v>
      </c>
    </row>
    <row r="183" spans="1:9" hidden="1">
      <c r="A183" s="69" t="s">
        <v>2722</v>
      </c>
      <c r="B183" t="s">
        <v>89</v>
      </c>
      <c r="C183" t="s">
        <v>741</v>
      </c>
      <c r="D183" t="s">
        <v>2483</v>
      </c>
      <c r="E183" t="s">
        <v>2523</v>
      </c>
      <c r="F183" s="66" t="s">
        <v>2383</v>
      </c>
      <c r="G183" s="66" t="s">
        <v>2383</v>
      </c>
      <c r="H183" s="94" t="s">
        <v>2383</v>
      </c>
    </row>
    <row r="184" spans="1:9" hidden="1">
      <c r="A184" s="69" t="s">
        <v>2723</v>
      </c>
      <c r="B184" t="s">
        <v>89</v>
      </c>
      <c r="C184" t="s">
        <v>741</v>
      </c>
      <c r="D184" t="s">
        <v>2483</v>
      </c>
      <c r="E184" t="s">
        <v>2523</v>
      </c>
      <c r="F184" s="66" t="s">
        <v>2383</v>
      </c>
      <c r="G184" s="66" t="s">
        <v>2383</v>
      </c>
      <c r="H184" s="94" t="s">
        <v>2383</v>
      </c>
    </row>
    <row r="185" spans="1:9" hidden="1">
      <c r="A185" t="s">
        <v>2724</v>
      </c>
      <c r="B185" t="s">
        <v>59</v>
      </c>
      <c r="C185" t="s">
        <v>288</v>
      </c>
      <c r="D185" t="s">
        <v>49</v>
      </c>
      <c r="E185" t="s">
        <v>2405</v>
      </c>
      <c r="F185" s="66" t="s">
        <v>2383</v>
      </c>
      <c r="G185" s="66" t="s">
        <v>2383</v>
      </c>
      <c r="H185" s="93" t="s">
        <v>2383</v>
      </c>
    </row>
    <row r="186" spans="1:9" hidden="1">
      <c r="A186" t="s">
        <v>2725</v>
      </c>
      <c r="B186" t="s">
        <v>82</v>
      </c>
      <c r="C186" t="s">
        <v>288</v>
      </c>
      <c r="D186" t="s">
        <v>49</v>
      </c>
      <c r="E186" t="s">
        <v>284</v>
      </c>
      <c r="F186" s="85" t="s">
        <v>2383</v>
      </c>
      <c r="G186" s="85" t="s">
        <v>2383</v>
      </c>
      <c r="H186" s="94" t="s">
        <v>2383</v>
      </c>
      <c r="I186" t="s">
        <v>2726</v>
      </c>
    </row>
    <row r="187" spans="1:9" hidden="1">
      <c r="A187" t="s">
        <v>2727</v>
      </c>
      <c r="B187" t="s">
        <v>89</v>
      </c>
      <c r="C187" t="s">
        <v>741</v>
      </c>
      <c r="D187" t="s">
        <v>49</v>
      </c>
      <c r="E187" t="s">
        <v>284</v>
      </c>
      <c r="F187" s="85" t="s">
        <v>2383</v>
      </c>
      <c r="G187" s="85" t="s">
        <v>2383</v>
      </c>
      <c r="H187" s="94" t="s">
        <v>2383</v>
      </c>
      <c r="I187" t="s">
        <v>2728</v>
      </c>
    </row>
    <row r="188" spans="1:9" hidden="1">
      <c r="A188" t="s">
        <v>2729</v>
      </c>
      <c r="B188" t="s">
        <v>89</v>
      </c>
      <c r="C188" t="s">
        <v>741</v>
      </c>
      <c r="D188" t="s">
        <v>49</v>
      </c>
      <c r="E188" t="s">
        <v>2405</v>
      </c>
      <c r="F188" s="85" t="s">
        <v>2383</v>
      </c>
      <c r="G188" s="85" t="s">
        <v>2383</v>
      </c>
      <c r="H188" s="94" t="s">
        <v>2383</v>
      </c>
    </row>
    <row r="189" spans="1:9" hidden="1">
      <c r="A189" t="s">
        <v>2730</v>
      </c>
      <c r="B189" t="s">
        <v>82</v>
      </c>
      <c r="C189" t="s">
        <v>288</v>
      </c>
      <c r="D189" t="s">
        <v>49</v>
      </c>
      <c r="E189" t="s">
        <v>2405</v>
      </c>
      <c r="F189"/>
      <c r="G189" s="85" t="s">
        <v>2383</v>
      </c>
      <c r="H189" s="94" t="s">
        <v>2383</v>
      </c>
    </row>
    <row r="190" spans="1:9" ht="29.1" hidden="1">
      <c r="A190" s="69" t="s">
        <v>2731</v>
      </c>
      <c r="B190" t="s">
        <v>82</v>
      </c>
      <c r="C190" t="s">
        <v>288</v>
      </c>
      <c r="D190" t="s">
        <v>49</v>
      </c>
      <c r="E190" t="s">
        <v>2405</v>
      </c>
      <c r="F190" s="85" t="s">
        <v>2383</v>
      </c>
      <c r="G190" s="66" t="s">
        <v>2383</v>
      </c>
      <c r="H190" s="94" t="s">
        <v>2383</v>
      </c>
    </row>
    <row r="191" spans="1:9" hidden="1">
      <c r="A191" t="s">
        <v>2732</v>
      </c>
      <c r="B191" t="s">
        <v>82</v>
      </c>
      <c r="C191" t="s">
        <v>288</v>
      </c>
      <c r="D191" t="s">
        <v>49</v>
      </c>
      <c r="E191" t="s">
        <v>2405</v>
      </c>
      <c r="F191" s="85" t="s">
        <v>2383</v>
      </c>
      <c r="G191" s="66" t="s">
        <v>2383</v>
      </c>
      <c r="H191" s="94" t="s">
        <v>2383</v>
      </c>
    </row>
    <row r="192" spans="1:9" hidden="1">
      <c r="A192" t="s">
        <v>2733</v>
      </c>
      <c r="B192" t="s">
        <v>82</v>
      </c>
      <c r="C192" t="s">
        <v>288</v>
      </c>
      <c r="D192" t="s">
        <v>49</v>
      </c>
      <c r="E192" t="s">
        <v>2405</v>
      </c>
      <c r="F192" s="85" t="s">
        <v>2383</v>
      </c>
      <c r="G192" s="85" t="s">
        <v>2383</v>
      </c>
      <c r="H192" s="85" t="s">
        <v>2383</v>
      </c>
    </row>
    <row r="193" spans="1:10" ht="29.1" hidden="1">
      <c r="A193" s="69" t="s">
        <v>2734</v>
      </c>
      <c r="B193" t="s">
        <v>82</v>
      </c>
      <c r="C193" t="s">
        <v>288</v>
      </c>
      <c r="D193" t="s">
        <v>49</v>
      </c>
      <c r="E193" t="s">
        <v>2405</v>
      </c>
      <c r="F193" s="66" t="s">
        <v>2383</v>
      </c>
      <c r="G193" s="66" t="s">
        <v>2383</v>
      </c>
      <c r="H193" s="93" t="s">
        <v>2383</v>
      </c>
    </row>
    <row r="194" spans="1:10" ht="29.1" hidden="1">
      <c r="A194" s="69" t="s">
        <v>2735</v>
      </c>
      <c r="B194" t="s">
        <v>82</v>
      </c>
      <c r="C194" t="s">
        <v>288</v>
      </c>
      <c r="D194" t="s">
        <v>49</v>
      </c>
      <c r="E194" t="s">
        <v>2416</v>
      </c>
      <c r="F194" s="66" t="s">
        <v>2383</v>
      </c>
      <c r="G194" s="66" t="s">
        <v>2383</v>
      </c>
      <c r="H194" s="94" t="s">
        <v>2383</v>
      </c>
      <c r="I194" t="s">
        <v>2736</v>
      </c>
    </row>
    <row r="195" spans="1:10" hidden="1">
      <c r="A195" t="s">
        <v>2737</v>
      </c>
      <c r="B195" t="s">
        <v>89</v>
      </c>
      <c r="C195" t="s">
        <v>288</v>
      </c>
      <c r="D195" t="s">
        <v>2136</v>
      </c>
      <c r="E195" t="s">
        <v>2382</v>
      </c>
      <c r="F195" s="66" t="s">
        <v>2383</v>
      </c>
      <c r="G195" s="66" t="s">
        <v>2383</v>
      </c>
      <c r="H195" s="93" t="s">
        <v>2383</v>
      </c>
    </row>
    <row r="196" spans="1:10" hidden="1">
      <c r="A196" t="s">
        <v>2738</v>
      </c>
      <c r="B196" t="s">
        <v>82</v>
      </c>
      <c r="C196" t="s">
        <v>2388</v>
      </c>
      <c r="D196" t="s">
        <v>49</v>
      </c>
      <c r="E196" t="s">
        <v>2416</v>
      </c>
      <c r="F196" s="85" t="s">
        <v>2383</v>
      </c>
      <c r="G196" s="85" t="s">
        <v>2383</v>
      </c>
      <c r="H196" s="94" t="s">
        <v>2383</v>
      </c>
    </row>
    <row r="197" spans="1:10" hidden="1">
      <c r="A197" t="s">
        <v>2739</v>
      </c>
      <c r="B197" t="s">
        <v>82</v>
      </c>
      <c r="C197" t="s">
        <v>2388</v>
      </c>
      <c r="D197" t="s">
        <v>49</v>
      </c>
      <c r="E197" t="s">
        <v>2416</v>
      </c>
      <c r="F197" s="66" t="s">
        <v>2383</v>
      </c>
      <c r="G197" s="66" t="s">
        <v>2383</v>
      </c>
      <c r="H197" s="93" t="s">
        <v>2383</v>
      </c>
    </row>
    <row r="198" spans="1:10" hidden="1">
      <c r="A198" t="s">
        <v>2740</v>
      </c>
      <c r="B198" t="s">
        <v>89</v>
      </c>
      <c r="C198" t="s">
        <v>2388</v>
      </c>
      <c r="D198" t="s">
        <v>2136</v>
      </c>
      <c r="E198" t="s">
        <v>2382</v>
      </c>
      <c r="F198" s="66" t="s">
        <v>2383</v>
      </c>
      <c r="G198" s="66" t="s">
        <v>2383</v>
      </c>
      <c r="H198" s="93" t="s">
        <v>2383</v>
      </c>
    </row>
    <row r="199" spans="1:10" hidden="1">
      <c r="A199" s="69" t="s">
        <v>2741</v>
      </c>
      <c r="B199" t="s">
        <v>89</v>
      </c>
      <c r="C199" t="s">
        <v>288</v>
      </c>
      <c r="D199" t="s">
        <v>2136</v>
      </c>
      <c r="E199" t="s">
        <v>2386</v>
      </c>
      <c r="F199" s="66" t="s">
        <v>2383</v>
      </c>
      <c r="G199" s="66" t="s">
        <v>2383</v>
      </c>
      <c r="H199" s="93" t="s">
        <v>2383</v>
      </c>
    </row>
    <row r="200" spans="1:10" hidden="1">
      <c r="A200" s="69" t="s">
        <v>2741</v>
      </c>
      <c r="B200" t="s">
        <v>89</v>
      </c>
      <c r="C200" t="s">
        <v>288</v>
      </c>
      <c r="D200" t="s">
        <v>2136</v>
      </c>
      <c r="E200" t="s">
        <v>2397</v>
      </c>
      <c r="F200" s="66" t="s">
        <v>2383</v>
      </c>
      <c r="G200" s="66" t="s">
        <v>2383</v>
      </c>
      <c r="H200" s="93" t="s">
        <v>2383</v>
      </c>
    </row>
    <row r="201" spans="1:10" ht="29.1">
      <c r="A201" s="69" t="s">
        <v>2742</v>
      </c>
      <c r="B201" t="s">
        <v>89</v>
      </c>
      <c r="C201" t="s">
        <v>2381</v>
      </c>
      <c r="D201" t="s">
        <v>2136</v>
      </c>
      <c r="E201" t="s">
        <v>2382</v>
      </c>
      <c r="H201" s="94">
        <v>1</v>
      </c>
      <c r="J201" s="84">
        <v>46115</v>
      </c>
    </row>
    <row r="202" spans="1:10" ht="43.5" hidden="1">
      <c r="A202" s="69" t="s">
        <v>2743</v>
      </c>
      <c r="B202" t="s">
        <v>59</v>
      </c>
      <c r="C202" t="s">
        <v>288</v>
      </c>
      <c r="D202" t="s">
        <v>2136</v>
      </c>
      <c r="E202" t="s">
        <v>2386</v>
      </c>
      <c r="F202" s="66" t="s">
        <v>2383</v>
      </c>
      <c r="G202" s="66" t="s">
        <v>2383</v>
      </c>
      <c r="H202" s="94" t="s">
        <v>2383</v>
      </c>
    </row>
    <row r="203" spans="1:10" ht="43.5" hidden="1">
      <c r="A203" s="69" t="s">
        <v>2744</v>
      </c>
      <c r="B203" t="s">
        <v>59</v>
      </c>
      <c r="C203" t="s">
        <v>288</v>
      </c>
      <c r="D203" t="s">
        <v>2136</v>
      </c>
      <c r="E203" t="s">
        <v>2382</v>
      </c>
      <c r="F203" s="66" t="s">
        <v>2383</v>
      </c>
      <c r="G203" s="66" t="s">
        <v>2383</v>
      </c>
      <c r="H203" s="94" t="s">
        <v>2383</v>
      </c>
    </row>
    <row r="204" spans="1:10" ht="43.5" hidden="1">
      <c r="A204" s="69" t="s">
        <v>2743</v>
      </c>
      <c r="B204" t="s">
        <v>59</v>
      </c>
      <c r="C204" t="s">
        <v>288</v>
      </c>
      <c r="D204" t="s">
        <v>2136</v>
      </c>
      <c r="E204" t="s">
        <v>2397</v>
      </c>
      <c r="F204" s="66" t="s">
        <v>2383</v>
      </c>
      <c r="G204" s="66" t="s">
        <v>2383</v>
      </c>
      <c r="H204" s="94" t="s">
        <v>2383</v>
      </c>
    </row>
    <row r="205" spans="1:10" hidden="1">
      <c r="A205" s="69" t="s">
        <v>2745</v>
      </c>
      <c r="B205" t="s">
        <v>59</v>
      </c>
      <c r="C205" t="s">
        <v>288</v>
      </c>
      <c r="D205" t="s">
        <v>49</v>
      </c>
      <c r="E205" t="s">
        <v>2416</v>
      </c>
      <c r="F205" s="66" t="s">
        <v>2383</v>
      </c>
      <c r="G205" s="66" t="s">
        <v>2383</v>
      </c>
      <c r="H205" s="94" t="s">
        <v>2383</v>
      </c>
      <c r="I205" t="s">
        <v>2746</v>
      </c>
    </row>
    <row r="206" spans="1:10" ht="43.5" hidden="1">
      <c r="A206" s="69" t="s">
        <v>2747</v>
      </c>
      <c r="B206" t="s">
        <v>82</v>
      </c>
      <c r="C206" t="s">
        <v>288</v>
      </c>
      <c r="D206" t="s">
        <v>49</v>
      </c>
      <c r="E206" t="s">
        <v>2416</v>
      </c>
      <c r="F206" s="66" t="s">
        <v>2383</v>
      </c>
      <c r="G206" s="66" t="s">
        <v>2383</v>
      </c>
      <c r="H206" s="94" t="s">
        <v>2383</v>
      </c>
    </row>
    <row r="207" spans="1:10" hidden="1">
      <c r="A207" s="69" t="s">
        <v>2748</v>
      </c>
      <c r="B207" t="s">
        <v>82</v>
      </c>
      <c r="C207" t="s">
        <v>288</v>
      </c>
      <c r="D207" t="s">
        <v>2136</v>
      </c>
      <c r="E207" t="s">
        <v>2382</v>
      </c>
      <c r="F207" s="66" t="s">
        <v>2383</v>
      </c>
      <c r="G207" s="66" t="s">
        <v>2383</v>
      </c>
      <c r="H207" s="94" t="s">
        <v>2383</v>
      </c>
    </row>
    <row r="208" spans="1:10" hidden="1">
      <c r="A208" t="s">
        <v>2749</v>
      </c>
      <c r="B208" t="s">
        <v>82</v>
      </c>
      <c r="C208" t="s">
        <v>288</v>
      </c>
      <c r="D208" t="s">
        <v>49</v>
      </c>
      <c r="E208" t="s">
        <v>2405</v>
      </c>
      <c r="F208" s="85" t="s">
        <v>2383</v>
      </c>
      <c r="G208" s="66" t="s">
        <v>2383</v>
      </c>
      <c r="H208" s="66" t="s">
        <v>2383</v>
      </c>
      <c r="J208" s="84">
        <v>46231</v>
      </c>
    </row>
    <row r="209" spans="1:10" hidden="1">
      <c r="A209" t="s">
        <v>2611</v>
      </c>
      <c r="B209" t="s">
        <v>59</v>
      </c>
      <c r="C209" t="s">
        <v>741</v>
      </c>
      <c r="D209" t="s">
        <v>2483</v>
      </c>
      <c r="E209" t="s">
        <v>2523</v>
      </c>
      <c r="F209" s="66" t="s">
        <v>2383</v>
      </c>
      <c r="G209" s="66" t="s">
        <v>2383</v>
      </c>
      <c r="H209" s="66" t="s">
        <v>2383</v>
      </c>
      <c r="J209" s="84">
        <v>46237</v>
      </c>
    </row>
    <row r="210" spans="1:10" hidden="1">
      <c r="A210" s="101" t="s">
        <v>2750</v>
      </c>
      <c r="B210" t="s">
        <v>82</v>
      </c>
      <c r="C210" t="s">
        <v>741</v>
      </c>
      <c r="D210" t="s">
        <v>228</v>
      </c>
      <c r="E210" t="s">
        <v>49</v>
      </c>
      <c r="F210" s="66" t="s">
        <v>2383</v>
      </c>
      <c r="G210" s="66" t="s">
        <v>2383</v>
      </c>
      <c r="H210" s="66" t="s">
        <v>2383</v>
      </c>
      <c r="I210" t="s">
        <v>2751</v>
      </c>
      <c r="J210" s="84">
        <v>46237</v>
      </c>
    </row>
    <row r="211" spans="1:10" hidden="1">
      <c r="A211" t="s">
        <v>2752</v>
      </c>
      <c r="B211" t="s">
        <v>82</v>
      </c>
      <c r="C211" t="s">
        <v>288</v>
      </c>
      <c r="D211" t="s">
        <v>49</v>
      </c>
      <c r="E211" t="s">
        <v>2416</v>
      </c>
      <c r="F211" s="85" t="s">
        <v>2383</v>
      </c>
      <c r="G211" s="66" t="s">
        <v>2384</v>
      </c>
      <c r="H211" s="105" t="s">
        <v>2383</v>
      </c>
      <c r="I211" t="s">
        <v>2753</v>
      </c>
      <c r="J211" s="84">
        <v>46237</v>
      </c>
    </row>
    <row r="212" spans="1:10" hidden="1">
      <c r="A212" t="s">
        <v>2754</v>
      </c>
      <c r="B212" t="s">
        <v>59</v>
      </c>
      <c r="C212" t="s">
        <v>288</v>
      </c>
      <c r="D212" t="s">
        <v>49</v>
      </c>
      <c r="E212" t="s">
        <v>2416</v>
      </c>
      <c r="F212" s="85" t="s">
        <v>2383</v>
      </c>
      <c r="G212" s="66" t="s">
        <v>2384</v>
      </c>
      <c r="H212" s="105" t="s">
        <v>2383</v>
      </c>
      <c r="I212" t="s">
        <v>2755</v>
      </c>
      <c r="J212" s="84">
        <v>46237</v>
      </c>
    </row>
    <row r="213" spans="1:10" hidden="1">
      <c r="A213" t="s">
        <v>2756</v>
      </c>
      <c r="B213" t="s">
        <v>82</v>
      </c>
      <c r="C213" t="s">
        <v>2388</v>
      </c>
      <c r="D213" t="s">
        <v>49</v>
      </c>
      <c r="E213" t="s">
        <v>2416</v>
      </c>
      <c r="F213" s="85" t="s">
        <v>2383</v>
      </c>
      <c r="G213" s="66" t="s">
        <v>2687</v>
      </c>
      <c r="H213" s="85" t="s">
        <v>2383</v>
      </c>
      <c r="I213" t="s">
        <v>2757</v>
      </c>
      <c r="J213" s="84">
        <v>46237</v>
      </c>
    </row>
    <row r="214" spans="1:10" hidden="1">
      <c r="A214" t="s">
        <v>2758</v>
      </c>
      <c r="B214" t="s">
        <v>59</v>
      </c>
      <c r="C214" t="s">
        <v>288</v>
      </c>
      <c r="D214" t="s">
        <v>49</v>
      </c>
      <c r="E214" t="s">
        <v>284</v>
      </c>
      <c r="F214" s="85" t="s">
        <v>2383</v>
      </c>
      <c r="G214" s="66" t="s">
        <v>2384</v>
      </c>
      <c r="H214" s="94" t="s">
        <v>2383</v>
      </c>
      <c r="I214" t="s">
        <v>2759</v>
      </c>
      <c r="J214" s="84">
        <v>46237</v>
      </c>
    </row>
    <row r="215" spans="1:10" ht="29.1" hidden="1">
      <c r="A215" s="69" t="s">
        <v>2760</v>
      </c>
      <c r="B215" t="s">
        <v>82</v>
      </c>
      <c r="C215" t="s">
        <v>741</v>
      </c>
      <c r="D215" t="s">
        <v>49</v>
      </c>
      <c r="E215" t="s">
        <v>2427</v>
      </c>
      <c r="F215" s="85" t="s">
        <v>2383</v>
      </c>
      <c r="G215" s="85" t="s">
        <v>2383</v>
      </c>
      <c r="H215" s="94" t="s">
        <v>2383</v>
      </c>
      <c r="J215" s="84">
        <v>46237</v>
      </c>
    </row>
    <row r="216" spans="1:10" hidden="1">
      <c r="A216" t="s">
        <v>2761</v>
      </c>
      <c r="B216" t="s">
        <v>82</v>
      </c>
      <c r="C216" t="s">
        <v>2381</v>
      </c>
      <c r="D216" t="s">
        <v>49</v>
      </c>
      <c r="E216" t="s">
        <v>610</v>
      </c>
      <c r="F216" s="66" t="s">
        <v>2383</v>
      </c>
      <c r="G216" s="66" t="s">
        <v>2383</v>
      </c>
      <c r="H216" s="94" t="s">
        <v>2383</v>
      </c>
      <c r="J216" s="84">
        <v>46115</v>
      </c>
    </row>
    <row r="217" spans="1:10" hidden="1">
      <c r="A217" t="s">
        <v>2762</v>
      </c>
      <c r="B217" t="s">
        <v>89</v>
      </c>
      <c r="C217" t="s">
        <v>288</v>
      </c>
      <c r="D217" t="s">
        <v>49</v>
      </c>
      <c r="E217" t="s">
        <v>2405</v>
      </c>
      <c r="F217" s="85" t="s">
        <v>2383</v>
      </c>
      <c r="G217" t="s">
        <v>2383</v>
      </c>
      <c r="H217" s="94" t="s">
        <v>2383</v>
      </c>
      <c r="J217" s="84">
        <v>46237</v>
      </c>
    </row>
    <row r="218" spans="1:10" hidden="1">
      <c r="A218" t="s">
        <v>2763</v>
      </c>
      <c r="B218" t="s">
        <v>89</v>
      </c>
      <c r="C218" t="s">
        <v>288</v>
      </c>
      <c r="D218" t="s">
        <v>49</v>
      </c>
      <c r="E218" t="s">
        <v>284</v>
      </c>
      <c r="F218" s="85" t="s">
        <v>2383</v>
      </c>
      <c r="G218" t="s">
        <v>2383</v>
      </c>
      <c r="H218" s="94" t="s">
        <v>2383</v>
      </c>
      <c r="J218" s="84">
        <v>46237</v>
      </c>
    </row>
    <row r="219" spans="1:10" hidden="1">
      <c r="A219" t="s">
        <v>2764</v>
      </c>
      <c r="B219" t="s">
        <v>89</v>
      </c>
      <c r="C219" t="s">
        <v>288</v>
      </c>
      <c r="D219" t="s">
        <v>49</v>
      </c>
      <c r="E219" t="s">
        <v>2416</v>
      </c>
      <c r="F219" s="85" t="s">
        <v>2383</v>
      </c>
      <c r="G219" t="s">
        <v>2383</v>
      </c>
      <c r="H219" s="94" t="s">
        <v>2383</v>
      </c>
      <c r="J219" s="84">
        <v>46237</v>
      </c>
    </row>
    <row r="220" spans="1:10" hidden="1">
      <c r="A220" t="s">
        <v>2765</v>
      </c>
      <c r="B220" t="s">
        <v>89</v>
      </c>
      <c r="C220" t="s">
        <v>288</v>
      </c>
      <c r="D220" t="s">
        <v>49</v>
      </c>
      <c r="E220" t="s">
        <v>610</v>
      </c>
      <c r="F220" s="85" t="s">
        <v>2383</v>
      </c>
      <c r="G220" t="s">
        <v>2383</v>
      </c>
      <c r="H220" s="94" t="s">
        <v>2383</v>
      </c>
      <c r="J220" s="84">
        <v>46237</v>
      </c>
    </row>
    <row r="221" spans="1:10" hidden="1">
      <c r="A221" t="s">
        <v>2766</v>
      </c>
      <c r="B221" t="s">
        <v>89</v>
      </c>
      <c r="C221" t="s">
        <v>288</v>
      </c>
      <c r="D221" t="s">
        <v>2136</v>
      </c>
      <c r="E221" t="s">
        <v>2386</v>
      </c>
      <c r="F221" t="s">
        <v>2383</v>
      </c>
      <c r="G221" t="s">
        <v>2383</v>
      </c>
      <c r="H221" s="94" t="s">
        <v>2383</v>
      </c>
      <c r="J221" s="84">
        <v>46237</v>
      </c>
    </row>
    <row r="222" spans="1:10" hidden="1">
      <c r="A222" t="s">
        <v>2767</v>
      </c>
      <c r="B222" t="s">
        <v>89</v>
      </c>
      <c r="C222" t="s">
        <v>288</v>
      </c>
      <c r="D222" t="s">
        <v>2136</v>
      </c>
      <c r="E222" t="s">
        <v>2382</v>
      </c>
      <c r="F222" t="s">
        <v>2383</v>
      </c>
      <c r="G222" t="s">
        <v>2383</v>
      </c>
      <c r="H222" s="94" t="s">
        <v>2383</v>
      </c>
      <c r="J222" s="84">
        <v>46237</v>
      </c>
    </row>
    <row r="223" spans="1:10" hidden="1">
      <c r="A223" t="s">
        <v>2768</v>
      </c>
      <c r="B223" t="s">
        <v>89</v>
      </c>
      <c r="C223" t="s">
        <v>288</v>
      </c>
      <c r="D223" t="s">
        <v>2136</v>
      </c>
      <c r="E223" t="s">
        <v>2397</v>
      </c>
      <c r="F223" s="85" t="s">
        <v>2383</v>
      </c>
      <c r="G223" s="85" t="s">
        <v>2384</v>
      </c>
      <c r="H223" s="94" t="s">
        <v>2383</v>
      </c>
      <c r="J223" s="84">
        <v>46237</v>
      </c>
    </row>
    <row r="224" spans="1:10" ht="29.1" hidden="1">
      <c r="A224" s="69" t="s">
        <v>2769</v>
      </c>
      <c r="B224" t="s">
        <v>59</v>
      </c>
      <c r="C224" t="s">
        <v>288</v>
      </c>
      <c r="D224" t="s">
        <v>2136</v>
      </c>
      <c r="E224" t="s">
        <v>2386</v>
      </c>
      <c r="F224" s="85" t="s">
        <v>2383</v>
      </c>
      <c r="G224" s="85" t="s">
        <v>2384</v>
      </c>
      <c r="H224" s="94" t="s">
        <v>2383</v>
      </c>
      <c r="J224" s="84">
        <v>46237</v>
      </c>
    </row>
    <row r="225" spans="1:11" hidden="1">
      <c r="A225" t="s">
        <v>2770</v>
      </c>
      <c r="B225" t="s">
        <v>59</v>
      </c>
      <c r="C225" t="s">
        <v>2412</v>
      </c>
      <c r="D225" t="s">
        <v>49</v>
      </c>
      <c r="E225" t="s">
        <v>610</v>
      </c>
      <c r="F225" s="66" t="s">
        <v>2383</v>
      </c>
      <c r="G225" s="66" t="s">
        <v>2383</v>
      </c>
      <c r="H225" s="94" t="s">
        <v>2383</v>
      </c>
      <c r="J225" s="84">
        <v>46237</v>
      </c>
    </row>
    <row r="226" spans="1:11" hidden="1">
      <c r="A226" t="s">
        <v>2771</v>
      </c>
      <c r="B226" t="s">
        <v>59</v>
      </c>
      <c r="C226" t="s">
        <v>2412</v>
      </c>
      <c r="D226" t="s">
        <v>49</v>
      </c>
      <c r="E226" t="s">
        <v>610</v>
      </c>
      <c r="F226" s="66" t="s">
        <v>2383</v>
      </c>
      <c r="G226" s="66" t="s">
        <v>2383</v>
      </c>
      <c r="H226" s="94" t="s">
        <v>2383</v>
      </c>
      <c r="J226" s="84">
        <v>46237</v>
      </c>
    </row>
    <row r="227" spans="1:11" hidden="1">
      <c r="A227" t="s">
        <v>2772</v>
      </c>
      <c r="B227" t="s">
        <v>59</v>
      </c>
      <c r="C227" t="s">
        <v>2412</v>
      </c>
      <c r="D227" t="s">
        <v>49</v>
      </c>
      <c r="E227" t="s">
        <v>610</v>
      </c>
      <c r="F227" s="66" t="s">
        <v>2383</v>
      </c>
      <c r="G227" s="66" t="s">
        <v>2383</v>
      </c>
      <c r="H227" s="94" t="s">
        <v>2383</v>
      </c>
      <c r="J227" s="84">
        <v>46237</v>
      </c>
    </row>
    <row r="228" spans="1:11" hidden="1">
      <c r="A228" t="s">
        <v>2773</v>
      </c>
      <c r="B228" t="s">
        <v>89</v>
      </c>
      <c r="C228" t="s">
        <v>2412</v>
      </c>
      <c r="D228" t="s">
        <v>49</v>
      </c>
      <c r="E228" t="s">
        <v>610</v>
      </c>
      <c r="F228" s="85" t="s">
        <v>2383</v>
      </c>
      <c r="G228" s="85" t="s">
        <v>2383</v>
      </c>
      <c r="H228" s="94" t="s">
        <v>2383</v>
      </c>
      <c r="I228" t="s">
        <v>2774</v>
      </c>
      <c r="J228" s="84">
        <v>46237</v>
      </c>
      <c r="K228" s="84">
        <v>46246</v>
      </c>
    </row>
    <row r="229" spans="1:11" hidden="1">
      <c r="A229" t="s">
        <v>2775</v>
      </c>
      <c r="B229" t="s">
        <v>89</v>
      </c>
      <c r="C229" t="s">
        <v>2412</v>
      </c>
      <c r="D229" t="s">
        <v>49</v>
      </c>
      <c r="E229" t="s">
        <v>610</v>
      </c>
      <c r="F229" s="66" t="s">
        <v>2383</v>
      </c>
      <c r="G229" s="66" t="s">
        <v>2383</v>
      </c>
      <c r="H229" s="94" t="s">
        <v>2383</v>
      </c>
      <c r="J229" s="84">
        <v>46237</v>
      </c>
    </row>
    <row r="230" spans="1:11" hidden="1">
      <c r="A230" t="s">
        <v>2776</v>
      </c>
      <c r="B230" t="s">
        <v>82</v>
      </c>
      <c r="C230" t="s">
        <v>2412</v>
      </c>
      <c r="D230" t="s">
        <v>49</v>
      </c>
      <c r="E230" t="s">
        <v>610</v>
      </c>
      <c r="F230" s="66" t="s">
        <v>2383</v>
      </c>
      <c r="G230" s="66" t="s">
        <v>2383</v>
      </c>
      <c r="H230" s="94" t="s">
        <v>2383</v>
      </c>
      <c r="J230" s="84">
        <v>46237</v>
      </c>
    </row>
    <row r="231" spans="1:11" ht="188.45" hidden="1">
      <c r="A231" s="69" t="s">
        <v>2777</v>
      </c>
      <c r="B231" t="s">
        <v>82</v>
      </c>
      <c r="C231" t="s">
        <v>2412</v>
      </c>
      <c r="D231" t="s">
        <v>49</v>
      </c>
      <c r="E231" t="s">
        <v>610</v>
      </c>
      <c r="F231" s="66" t="s">
        <v>2383</v>
      </c>
      <c r="G231" s="66" t="s">
        <v>2383</v>
      </c>
      <c r="H231" s="94" t="s">
        <v>2383</v>
      </c>
      <c r="J231" s="84">
        <v>46237</v>
      </c>
    </row>
    <row r="232" spans="1:11" hidden="1">
      <c r="A232" t="s">
        <v>2778</v>
      </c>
      <c r="B232" t="s">
        <v>82</v>
      </c>
      <c r="C232" t="s">
        <v>2412</v>
      </c>
      <c r="D232" t="s">
        <v>49</v>
      </c>
      <c r="E232" t="s">
        <v>610</v>
      </c>
      <c r="F232" s="85" t="s">
        <v>2383</v>
      </c>
      <c r="G232" s="85" t="s">
        <v>2383</v>
      </c>
      <c r="H232" s="94" t="s">
        <v>2383</v>
      </c>
      <c r="J232" s="84">
        <v>46237</v>
      </c>
    </row>
    <row r="233" spans="1:11" hidden="1">
      <c r="A233" t="s">
        <v>2779</v>
      </c>
      <c r="B233" t="s">
        <v>82</v>
      </c>
      <c r="C233" t="s">
        <v>2412</v>
      </c>
      <c r="D233" t="s">
        <v>49</v>
      </c>
      <c r="E233" t="s">
        <v>610</v>
      </c>
      <c r="F233" t="s">
        <v>2383</v>
      </c>
      <c r="G233" t="s">
        <v>2383</v>
      </c>
      <c r="H233" s="94" t="s">
        <v>2383</v>
      </c>
      <c r="J233" s="84">
        <v>46237</v>
      </c>
    </row>
    <row r="234" spans="1:11" ht="29.1" hidden="1">
      <c r="A234" s="69" t="s">
        <v>2780</v>
      </c>
      <c r="B234" t="s">
        <v>82</v>
      </c>
      <c r="C234" t="s">
        <v>288</v>
      </c>
      <c r="D234" t="s">
        <v>2136</v>
      </c>
      <c r="E234" t="s">
        <v>2397</v>
      </c>
      <c r="F234" s="85" t="s">
        <v>2383</v>
      </c>
      <c r="G234" s="85" t="s">
        <v>2383</v>
      </c>
      <c r="H234" s="94" t="s">
        <v>2781</v>
      </c>
      <c r="J234" s="84">
        <v>46237</v>
      </c>
    </row>
    <row r="235" spans="1:11" hidden="1">
      <c r="A235" t="s">
        <v>2782</v>
      </c>
      <c r="B235" t="s">
        <v>82</v>
      </c>
      <c r="C235" t="s">
        <v>288</v>
      </c>
      <c r="D235" t="s">
        <v>2136</v>
      </c>
      <c r="E235" t="s">
        <v>2397</v>
      </c>
      <c r="F235" s="85" t="s">
        <v>2383</v>
      </c>
      <c r="G235" s="85" t="s">
        <v>2383</v>
      </c>
      <c r="H235" s="94" t="s">
        <v>2781</v>
      </c>
      <c r="J235" s="84">
        <v>46237</v>
      </c>
    </row>
    <row r="236" spans="1:11" hidden="1">
      <c r="A236" t="s">
        <v>2783</v>
      </c>
      <c r="B236" t="s">
        <v>82</v>
      </c>
      <c r="C236" t="s">
        <v>288</v>
      </c>
      <c r="D236" t="s">
        <v>2136</v>
      </c>
      <c r="E236" t="s">
        <v>2397</v>
      </c>
      <c r="F236" s="85" t="s">
        <v>2383</v>
      </c>
      <c r="G236" s="85" t="s">
        <v>2383</v>
      </c>
      <c r="H236" s="94" t="s">
        <v>2781</v>
      </c>
      <c r="J236" s="84">
        <v>46237</v>
      </c>
    </row>
    <row r="237" spans="1:11" ht="217.5" hidden="1">
      <c r="A237" s="69" t="s">
        <v>2784</v>
      </c>
      <c r="B237" t="s">
        <v>89</v>
      </c>
      <c r="C237" t="s">
        <v>2412</v>
      </c>
      <c r="D237" t="s">
        <v>49</v>
      </c>
      <c r="E237" t="s">
        <v>610</v>
      </c>
      <c r="F237" t="s">
        <v>2383</v>
      </c>
      <c r="G237" t="s">
        <v>2383</v>
      </c>
      <c r="H237" s="94" t="s">
        <v>2383</v>
      </c>
      <c r="J237" s="84">
        <v>46240</v>
      </c>
      <c r="K237" s="84"/>
    </row>
    <row r="238" spans="1:11" hidden="1">
      <c r="A238" t="s">
        <v>2785</v>
      </c>
      <c r="B238" t="s">
        <v>59</v>
      </c>
      <c r="C238" t="s">
        <v>2412</v>
      </c>
      <c r="D238" t="s">
        <v>49</v>
      </c>
      <c r="E238" t="s">
        <v>610</v>
      </c>
      <c r="F238" t="s">
        <v>2383</v>
      </c>
      <c r="G238" t="s">
        <v>2383</v>
      </c>
      <c r="H238" s="94" t="s">
        <v>2383</v>
      </c>
      <c r="J238" s="84">
        <v>46240</v>
      </c>
      <c r="K238" s="84"/>
    </row>
    <row r="239" spans="1:11" ht="203.1" hidden="1">
      <c r="A239" s="69" t="s">
        <v>2786</v>
      </c>
      <c r="B239" t="s">
        <v>89</v>
      </c>
      <c r="C239" t="s">
        <v>2412</v>
      </c>
      <c r="D239" t="s">
        <v>49</v>
      </c>
      <c r="E239" t="s">
        <v>610</v>
      </c>
      <c r="F239" t="s">
        <v>2383</v>
      </c>
      <c r="G239" t="s">
        <v>2383</v>
      </c>
      <c r="H239" s="94" t="s">
        <v>2383</v>
      </c>
      <c r="J239" s="84">
        <v>46240</v>
      </c>
      <c r="K239" s="84"/>
    </row>
    <row r="240" spans="1:11" ht="174" hidden="1">
      <c r="A240" s="69" t="s">
        <v>2787</v>
      </c>
      <c r="B240" t="s">
        <v>89</v>
      </c>
      <c r="C240" t="s">
        <v>288</v>
      </c>
      <c r="D240" t="s">
        <v>2136</v>
      </c>
      <c r="E240" t="s">
        <v>2397</v>
      </c>
      <c r="F240" t="s">
        <v>2781</v>
      </c>
      <c r="G240" t="s">
        <v>2383</v>
      </c>
      <c r="H240" s="94" t="s">
        <v>2383</v>
      </c>
      <c r="J240" s="84">
        <v>46240</v>
      </c>
      <c r="K240" s="84"/>
    </row>
    <row r="241" spans="1:11" hidden="1">
      <c r="A241" s="102" t="s">
        <v>2788</v>
      </c>
      <c r="B241" t="s">
        <v>89</v>
      </c>
      <c r="C241" t="s">
        <v>288</v>
      </c>
      <c r="D241" t="s">
        <v>2136</v>
      </c>
      <c r="E241" t="s">
        <v>2397</v>
      </c>
      <c r="F241" s="85" t="s">
        <v>2383</v>
      </c>
      <c r="G241" s="66" t="s">
        <v>2384</v>
      </c>
      <c r="H241" s="94" t="s">
        <v>2383</v>
      </c>
      <c r="I241" t="s">
        <v>2789</v>
      </c>
      <c r="J241" s="84">
        <v>46240</v>
      </c>
      <c r="K241" s="84"/>
    </row>
    <row r="242" spans="1:11" hidden="1">
      <c r="A242" t="s">
        <v>2790</v>
      </c>
      <c r="B242" t="s">
        <v>82</v>
      </c>
      <c r="C242" t="s">
        <v>2388</v>
      </c>
      <c r="D242" t="s">
        <v>2136</v>
      </c>
      <c r="E242" t="s">
        <v>2386</v>
      </c>
      <c r="H242" s="94" t="s">
        <v>2383</v>
      </c>
      <c r="J242" s="84">
        <v>46240</v>
      </c>
      <c r="K242" s="84">
        <v>46279</v>
      </c>
    </row>
    <row r="243" spans="1:11" hidden="1">
      <c r="A243" s="69" t="s">
        <v>2791</v>
      </c>
      <c r="B243" t="s">
        <v>82</v>
      </c>
      <c r="C243" t="s">
        <v>288</v>
      </c>
      <c r="D243" t="s">
        <v>2136</v>
      </c>
      <c r="E243" t="s">
        <v>2386</v>
      </c>
      <c r="F243" s="85" t="s">
        <v>2383</v>
      </c>
      <c r="G243" s="85" t="s">
        <v>2384</v>
      </c>
      <c r="H243" s="94" t="s">
        <v>2383</v>
      </c>
      <c r="J243" s="84">
        <v>46240</v>
      </c>
    </row>
    <row r="244" spans="1:11" ht="101.45" hidden="1">
      <c r="A244" s="69" t="s">
        <v>2792</v>
      </c>
      <c r="B244" t="s">
        <v>82</v>
      </c>
      <c r="C244" t="s">
        <v>2381</v>
      </c>
      <c r="D244" t="s">
        <v>49</v>
      </c>
      <c r="E244" t="s">
        <v>610</v>
      </c>
      <c r="F244" t="s">
        <v>2383</v>
      </c>
      <c r="G244" t="s">
        <v>2383</v>
      </c>
      <c r="H244" s="94" t="s">
        <v>2383</v>
      </c>
      <c r="J244" s="84">
        <v>46240</v>
      </c>
    </row>
    <row r="245" spans="1:11" hidden="1">
      <c r="A245" s="69" t="s">
        <v>2793</v>
      </c>
      <c r="B245" t="s">
        <v>82</v>
      </c>
      <c r="C245" t="s">
        <v>2412</v>
      </c>
      <c r="D245" t="s">
        <v>49</v>
      </c>
      <c r="E245" t="s">
        <v>610</v>
      </c>
      <c r="F245" s="85" t="s">
        <v>2383</v>
      </c>
      <c r="G245" s="85" t="s">
        <v>2383</v>
      </c>
      <c r="H245" s="94" t="s">
        <v>2383</v>
      </c>
      <c r="I245" t="s">
        <v>2794</v>
      </c>
      <c r="J245" s="84">
        <v>46240</v>
      </c>
      <c r="K245" s="84">
        <v>46246</v>
      </c>
    </row>
    <row r="246" spans="1:11" hidden="1">
      <c r="A246" t="s">
        <v>2795</v>
      </c>
      <c r="B246" t="s">
        <v>82</v>
      </c>
      <c r="C246" t="s">
        <v>2412</v>
      </c>
      <c r="D246" t="s">
        <v>49</v>
      </c>
      <c r="E246" t="s">
        <v>610</v>
      </c>
      <c r="F246" t="s">
        <v>2383</v>
      </c>
      <c r="G246" t="s">
        <v>2383</v>
      </c>
      <c r="H246" s="94" t="s">
        <v>2383</v>
      </c>
    </row>
    <row r="247" spans="1:11" hidden="1">
      <c r="A247" s="69" t="s">
        <v>2796</v>
      </c>
      <c r="B247" t="s">
        <v>82</v>
      </c>
      <c r="C247" t="s">
        <v>2412</v>
      </c>
      <c r="D247" t="s">
        <v>49</v>
      </c>
      <c r="E247" t="s">
        <v>610</v>
      </c>
      <c r="F247" t="s">
        <v>2383</v>
      </c>
      <c r="G247" t="s">
        <v>2383</v>
      </c>
      <c r="H247" s="94" t="s">
        <v>2383</v>
      </c>
    </row>
    <row r="248" spans="1:11" ht="203.1" hidden="1">
      <c r="A248" s="69" t="s">
        <v>2797</v>
      </c>
      <c r="B248" t="s">
        <v>82</v>
      </c>
      <c r="C248" t="s">
        <v>2412</v>
      </c>
      <c r="D248" t="s">
        <v>49</v>
      </c>
      <c r="E248" t="s">
        <v>610</v>
      </c>
      <c r="F248" t="s">
        <v>2383</v>
      </c>
      <c r="G248" t="s">
        <v>2383</v>
      </c>
      <c r="H248" s="94" t="s">
        <v>2383</v>
      </c>
      <c r="I248" t="s">
        <v>2798</v>
      </c>
    </row>
    <row r="249" spans="1:11" ht="29.1" hidden="1">
      <c r="A249" s="69" t="s">
        <v>2799</v>
      </c>
      <c r="B249" t="s">
        <v>82</v>
      </c>
      <c r="C249" t="s">
        <v>288</v>
      </c>
      <c r="D249" t="s">
        <v>49</v>
      </c>
      <c r="E249" t="s">
        <v>284</v>
      </c>
      <c r="F249" s="85" t="s">
        <v>2383</v>
      </c>
      <c r="G249" s="85" t="s">
        <v>2384</v>
      </c>
      <c r="H249" s="94" t="s">
        <v>2383</v>
      </c>
      <c r="J249" s="84">
        <v>46244</v>
      </c>
    </row>
    <row r="250" spans="1:11" hidden="1">
      <c r="A250" s="69" t="s">
        <v>2800</v>
      </c>
      <c r="B250" t="s">
        <v>82</v>
      </c>
      <c r="C250" t="s">
        <v>288</v>
      </c>
      <c r="D250" t="s">
        <v>2136</v>
      </c>
      <c r="E250" t="s">
        <v>2397</v>
      </c>
      <c r="F250" s="85" t="s">
        <v>2383</v>
      </c>
      <c r="G250" s="85" t="s">
        <v>2384</v>
      </c>
      <c r="H250" s="94" t="s">
        <v>2383</v>
      </c>
      <c r="J250" s="84">
        <v>46246</v>
      </c>
    </row>
    <row r="251" spans="1:11" hidden="1">
      <c r="A251" t="s">
        <v>2801</v>
      </c>
      <c r="B251" t="s">
        <v>82</v>
      </c>
      <c r="C251" t="s">
        <v>288</v>
      </c>
      <c r="D251" t="s">
        <v>2136</v>
      </c>
      <c r="E251" t="s">
        <v>2382</v>
      </c>
      <c r="F251" s="85" t="s">
        <v>2383</v>
      </c>
      <c r="G251" s="85" t="s">
        <v>2384</v>
      </c>
      <c r="H251" s="85" t="s">
        <v>2383</v>
      </c>
      <c r="J251" s="84">
        <v>46246</v>
      </c>
    </row>
    <row r="252" spans="1:11" ht="29.1" hidden="1">
      <c r="A252" s="69" t="s">
        <v>2802</v>
      </c>
      <c r="B252" t="s">
        <v>82</v>
      </c>
      <c r="C252" t="s">
        <v>288</v>
      </c>
      <c r="D252" t="s">
        <v>49</v>
      </c>
      <c r="E252" t="s">
        <v>2405</v>
      </c>
      <c r="F252" s="85" t="s">
        <v>2383</v>
      </c>
      <c r="G252" s="85" t="s">
        <v>2383</v>
      </c>
      <c r="H252" s="94" t="s">
        <v>2383</v>
      </c>
      <c r="J252" s="84">
        <v>46246</v>
      </c>
    </row>
    <row r="253" spans="1:11" hidden="1">
      <c r="A253" s="69" t="s">
        <v>2803</v>
      </c>
      <c r="B253" t="s">
        <v>89</v>
      </c>
      <c r="C253" t="s">
        <v>288</v>
      </c>
      <c r="D253" t="s">
        <v>49</v>
      </c>
      <c r="E253" t="s">
        <v>284</v>
      </c>
      <c r="F253" s="85" t="s">
        <v>2383</v>
      </c>
      <c r="G253" s="85" t="s">
        <v>2383</v>
      </c>
      <c r="H253" s="94" t="s">
        <v>2383</v>
      </c>
      <c r="J253" s="84">
        <v>46246</v>
      </c>
    </row>
    <row r="254" spans="1:11" hidden="1">
      <c r="A254" s="69" t="s">
        <v>2804</v>
      </c>
      <c r="B254" t="s">
        <v>89</v>
      </c>
      <c r="C254" t="s">
        <v>288</v>
      </c>
      <c r="D254" t="s">
        <v>49</v>
      </c>
      <c r="E254" t="s">
        <v>2416</v>
      </c>
      <c r="F254" s="85" t="s">
        <v>2383</v>
      </c>
      <c r="G254" s="85" t="s">
        <v>2383</v>
      </c>
      <c r="H254" s="94" t="s">
        <v>2383</v>
      </c>
      <c r="J254" s="84">
        <v>46246</v>
      </c>
    </row>
    <row r="255" spans="1:11" hidden="1">
      <c r="A255" s="69" t="s">
        <v>2805</v>
      </c>
      <c r="B255" t="s">
        <v>89</v>
      </c>
      <c r="C255" t="s">
        <v>2412</v>
      </c>
      <c r="D255" t="s">
        <v>49</v>
      </c>
      <c r="E255" t="s">
        <v>610</v>
      </c>
      <c r="F255" s="85" t="s">
        <v>2383</v>
      </c>
      <c r="G255" s="85" t="s">
        <v>2383</v>
      </c>
      <c r="H255" s="94" t="s">
        <v>2383</v>
      </c>
      <c r="J255" s="84">
        <v>46246</v>
      </c>
    </row>
    <row r="256" spans="1:11" hidden="1">
      <c r="A256" s="69" t="s">
        <v>2806</v>
      </c>
      <c r="B256" t="s">
        <v>89</v>
      </c>
      <c r="C256" t="s">
        <v>2412</v>
      </c>
      <c r="D256" t="s">
        <v>49</v>
      </c>
      <c r="E256" t="s">
        <v>1546</v>
      </c>
      <c r="F256"/>
      <c r="G256"/>
      <c r="H256" s="94" t="s">
        <v>2383</v>
      </c>
    </row>
    <row r="257" spans="1:10" hidden="1">
      <c r="A257" s="69" t="s">
        <v>2807</v>
      </c>
      <c r="B257" t="s">
        <v>89</v>
      </c>
      <c r="C257" t="s">
        <v>288</v>
      </c>
      <c r="D257" t="s">
        <v>2136</v>
      </c>
      <c r="E257" t="s">
        <v>2397</v>
      </c>
      <c r="F257" s="85" t="s">
        <v>2383</v>
      </c>
      <c r="G257" t="s">
        <v>2383</v>
      </c>
      <c r="H257" s="94" t="s">
        <v>2383</v>
      </c>
      <c r="J257" s="84">
        <v>46247</v>
      </c>
    </row>
    <row r="258" spans="1:10" hidden="1">
      <c r="A258" s="69" t="s">
        <v>2808</v>
      </c>
      <c r="B258" t="s">
        <v>89</v>
      </c>
      <c r="C258" t="s">
        <v>288</v>
      </c>
      <c r="D258" t="s">
        <v>2136</v>
      </c>
      <c r="E258" t="s">
        <v>2397</v>
      </c>
      <c r="F258" s="85" t="s">
        <v>2383</v>
      </c>
      <c r="G258" t="s">
        <v>2383</v>
      </c>
      <c r="H258" s="94" t="s">
        <v>2383</v>
      </c>
      <c r="J258" s="84">
        <v>46247</v>
      </c>
    </row>
    <row r="259" spans="1:10" hidden="1">
      <c r="A259" s="69" t="s">
        <v>2809</v>
      </c>
      <c r="B259" t="s">
        <v>89</v>
      </c>
      <c r="C259" t="s">
        <v>288</v>
      </c>
      <c r="D259" t="s">
        <v>2136</v>
      </c>
      <c r="E259" t="s">
        <v>2397</v>
      </c>
      <c r="F259" s="85" t="s">
        <v>2383</v>
      </c>
      <c r="G259" t="s">
        <v>2383</v>
      </c>
      <c r="H259" s="94" t="s">
        <v>2383</v>
      </c>
      <c r="J259" s="84">
        <v>46247</v>
      </c>
    </row>
    <row r="260" spans="1:10" ht="188.45" hidden="1">
      <c r="A260" s="69" t="s">
        <v>2810</v>
      </c>
      <c r="B260" t="s">
        <v>89</v>
      </c>
      <c r="C260" t="s">
        <v>288</v>
      </c>
      <c r="D260" t="s">
        <v>2136</v>
      </c>
      <c r="E260" t="s">
        <v>2397</v>
      </c>
      <c r="F260" s="85" t="s">
        <v>2383</v>
      </c>
      <c r="G260" t="s">
        <v>2383</v>
      </c>
      <c r="H260" s="94" t="s">
        <v>2383</v>
      </c>
      <c r="J260" s="84">
        <v>46247</v>
      </c>
    </row>
    <row r="261" spans="1:10" hidden="1">
      <c r="A261" s="69" t="s">
        <v>2811</v>
      </c>
      <c r="B261" t="s">
        <v>82</v>
      </c>
      <c r="C261" t="s">
        <v>288</v>
      </c>
      <c r="D261" t="s">
        <v>2136</v>
      </c>
      <c r="E261" t="s">
        <v>2397</v>
      </c>
      <c r="F261" s="85" t="s">
        <v>2383</v>
      </c>
      <c r="G261" s="85" t="s">
        <v>2384</v>
      </c>
      <c r="H261" s="94" t="s">
        <v>2383</v>
      </c>
      <c r="I261" t="s">
        <v>2812</v>
      </c>
      <c r="J261" s="84">
        <v>46247</v>
      </c>
    </row>
    <row r="262" spans="1:10" hidden="1">
      <c r="A262" s="69" t="s">
        <v>2813</v>
      </c>
      <c r="B262" t="s">
        <v>82</v>
      </c>
      <c r="C262" t="s">
        <v>288</v>
      </c>
      <c r="D262" t="s">
        <v>2136</v>
      </c>
      <c r="E262" t="s">
        <v>2397</v>
      </c>
      <c r="F262" s="85" t="s">
        <v>2383</v>
      </c>
      <c r="G262" t="s">
        <v>2383</v>
      </c>
      <c r="H262" s="94" t="s">
        <v>2383</v>
      </c>
      <c r="J262" s="84">
        <v>46247</v>
      </c>
    </row>
    <row r="263" spans="1:10" hidden="1">
      <c r="A263" s="69" t="s">
        <v>2814</v>
      </c>
      <c r="B263" t="s">
        <v>82</v>
      </c>
      <c r="C263" t="s">
        <v>288</v>
      </c>
      <c r="D263" t="s">
        <v>2136</v>
      </c>
      <c r="E263" t="s">
        <v>2397</v>
      </c>
      <c r="F263" s="85" t="s">
        <v>2383</v>
      </c>
      <c r="G263" t="s">
        <v>2383</v>
      </c>
      <c r="H263" s="85" t="s">
        <v>2383</v>
      </c>
      <c r="J263" s="84">
        <v>46247</v>
      </c>
    </row>
    <row r="264" spans="1:10" hidden="1">
      <c r="A264" s="102" t="s">
        <v>2815</v>
      </c>
      <c r="B264" t="s">
        <v>82</v>
      </c>
      <c r="C264" t="s">
        <v>288</v>
      </c>
      <c r="D264" t="s">
        <v>2136</v>
      </c>
      <c r="E264" t="s">
        <v>2397</v>
      </c>
      <c r="F264" s="85" t="s">
        <v>2383</v>
      </c>
      <c r="G264" s="85" t="s">
        <v>2383</v>
      </c>
      <c r="H264" s="85" t="s">
        <v>2383</v>
      </c>
      <c r="J264" s="84">
        <v>46247</v>
      </c>
    </row>
    <row r="265" spans="1:10" hidden="1">
      <c r="A265" s="69" t="s">
        <v>2816</v>
      </c>
      <c r="B265" t="s">
        <v>82</v>
      </c>
      <c r="C265" t="s">
        <v>288</v>
      </c>
      <c r="D265" t="s">
        <v>2136</v>
      </c>
      <c r="E265" t="s">
        <v>2397</v>
      </c>
      <c r="F265" s="85" t="s">
        <v>2383</v>
      </c>
      <c r="G265" t="s">
        <v>2383</v>
      </c>
      <c r="H265" s="85" t="s">
        <v>2383</v>
      </c>
      <c r="J265" s="84">
        <v>46247</v>
      </c>
    </row>
    <row r="266" spans="1:10" hidden="1">
      <c r="A266" s="69" t="s">
        <v>2817</v>
      </c>
      <c r="B266" t="s">
        <v>82</v>
      </c>
      <c r="C266" t="s">
        <v>288</v>
      </c>
      <c r="D266" t="s">
        <v>2136</v>
      </c>
      <c r="E266" t="s">
        <v>2397</v>
      </c>
      <c r="F266" s="85" t="s">
        <v>2383</v>
      </c>
      <c r="G266" t="s">
        <v>2383</v>
      </c>
      <c r="H266" s="85" t="s">
        <v>2383</v>
      </c>
      <c r="I266" t="s">
        <v>2818</v>
      </c>
      <c r="J266" s="84">
        <v>46247</v>
      </c>
    </row>
    <row r="267" spans="1:10" hidden="1">
      <c r="A267" t="s">
        <v>2819</v>
      </c>
      <c r="B267" t="s">
        <v>89</v>
      </c>
      <c r="C267" t="s">
        <v>2388</v>
      </c>
      <c r="D267" t="s">
        <v>2136</v>
      </c>
      <c r="E267" t="s">
        <v>2386</v>
      </c>
      <c r="F267"/>
      <c r="G267" s="85" t="s">
        <v>2384</v>
      </c>
      <c r="H267" s="85" t="s">
        <v>2383</v>
      </c>
      <c r="I267" t="s">
        <v>2820</v>
      </c>
    </row>
    <row r="268" spans="1:10" ht="130.5" hidden="1">
      <c r="A268" s="69" t="s">
        <v>2821</v>
      </c>
      <c r="B268" t="s">
        <v>89</v>
      </c>
      <c r="C268" t="s">
        <v>288</v>
      </c>
      <c r="D268" t="s">
        <v>2136</v>
      </c>
      <c r="E268" t="s">
        <v>2386</v>
      </c>
      <c r="F268"/>
      <c r="G268" s="85" t="s">
        <v>2384</v>
      </c>
      <c r="H268" s="85" t="s">
        <v>2383</v>
      </c>
      <c r="I268" t="s">
        <v>2822</v>
      </c>
    </row>
    <row r="269" spans="1:10" hidden="1">
      <c r="A269" s="69" t="s">
        <v>2823</v>
      </c>
      <c r="B269" t="s">
        <v>82</v>
      </c>
      <c r="C269" t="s">
        <v>288</v>
      </c>
      <c r="D269" t="s">
        <v>2136</v>
      </c>
      <c r="E269" t="s">
        <v>2397</v>
      </c>
      <c r="F269" s="85" t="s">
        <v>2383</v>
      </c>
      <c r="G269" s="85" t="s">
        <v>2384</v>
      </c>
      <c r="H269" s="85" t="s">
        <v>2383</v>
      </c>
      <c r="I269" t="s">
        <v>2824</v>
      </c>
    </row>
    <row r="270" spans="1:10" ht="101.45" hidden="1">
      <c r="A270" s="69" t="s">
        <v>2825</v>
      </c>
      <c r="B270" t="s">
        <v>82</v>
      </c>
      <c r="C270" t="s">
        <v>288</v>
      </c>
      <c r="D270" t="s">
        <v>2136</v>
      </c>
      <c r="E270" t="s">
        <v>2386</v>
      </c>
      <c r="F270"/>
      <c r="G270" s="66" t="s">
        <v>2384</v>
      </c>
      <c r="H270" s="85" t="s">
        <v>2383</v>
      </c>
      <c r="J270" s="84">
        <v>46253</v>
      </c>
    </row>
    <row r="271" spans="1:10" hidden="1">
      <c r="A271" s="104" t="s">
        <v>2826</v>
      </c>
      <c r="B271" s="103" t="s">
        <v>59</v>
      </c>
      <c r="C271" s="103" t="s">
        <v>741</v>
      </c>
      <c r="D271" s="103" t="s">
        <v>2424</v>
      </c>
      <c r="E271" s="103" t="s">
        <v>2480</v>
      </c>
      <c r="F271" s="66" t="s">
        <v>2383</v>
      </c>
      <c r="G271" s="66" t="s">
        <v>2383</v>
      </c>
      <c r="H271" s="66" t="s">
        <v>2383</v>
      </c>
      <c r="J271" s="84">
        <v>46258</v>
      </c>
    </row>
    <row r="272" spans="1:10" hidden="1">
      <c r="A272" s="104" t="s">
        <v>2827</v>
      </c>
      <c r="B272" s="103" t="s">
        <v>89</v>
      </c>
      <c r="C272" s="103" t="s">
        <v>741</v>
      </c>
      <c r="D272" s="103" t="s">
        <v>2424</v>
      </c>
      <c r="E272" s="103" t="s">
        <v>2480</v>
      </c>
      <c r="F272" s="66" t="s">
        <v>2383</v>
      </c>
      <c r="G272" s="66" t="s">
        <v>2383</v>
      </c>
      <c r="H272" s="66" t="s">
        <v>2383</v>
      </c>
      <c r="J272" s="84">
        <v>46258</v>
      </c>
    </row>
    <row r="273" spans="1:11" hidden="1">
      <c r="A273" s="104" t="s">
        <v>2828</v>
      </c>
      <c r="B273" s="103" t="s">
        <v>59</v>
      </c>
      <c r="C273" s="103" t="s">
        <v>741</v>
      </c>
      <c r="D273" s="103" t="s">
        <v>2424</v>
      </c>
      <c r="E273" s="103" t="s">
        <v>2480</v>
      </c>
      <c r="F273" s="66" t="s">
        <v>2383</v>
      </c>
      <c r="G273" s="66" t="s">
        <v>2383</v>
      </c>
      <c r="H273" s="66" t="s">
        <v>2383</v>
      </c>
      <c r="J273" s="84">
        <v>46258</v>
      </c>
    </row>
    <row r="274" spans="1:11" hidden="1">
      <c r="A274" s="104" t="s">
        <v>2829</v>
      </c>
      <c r="B274" s="103" t="s">
        <v>59</v>
      </c>
      <c r="C274" s="103" t="s">
        <v>741</v>
      </c>
      <c r="D274" s="103" t="s">
        <v>2424</v>
      </c>
      <c r="E274" s="103" t="s">
        <v>2480</v>
      </c>
      <c r="F274" s="66" t="s">
        <v>2383</v>
      </c>
      <c r="G274" s="66" t="s">
        <v>2383</v>
      </c>
      <c r="H274" s="66" t="s">
        <v>2383</v>
      </c>
      <c r="J274" s="84">
        <v>46258</v>
      </c>
    </row>
    <row r="275" spans="1:11" hidden="1">
      <c r="A275" s="104" t="s">
        <v>2830</v>
      </c>
      <c r="B275" s="103" t="s">
        <v>59</v>
      </c>
      <c r="C275" s="103" t="s">
        <v>741</v>
      </c>
      <c r="D275" s="103" t="s">
        <v>2424</v>
      </c>
      <c r="E275" s="103" t="s">
        <v>2480</v>
      </c>
      <c r="F275" s="66" t="s">
        <v>2383</v>
      </c>
      <c r="G275" s="66" t="s">
        <v>2383</v>
      </c>
      <c r="H275" s="66" t="s">
        <v>2383</v>
      </c>
      <c r="J275" s="84">
        <v>46258</v>
      </c>
    </row>
    <row r="276" spans="1:11" hidden="1">
      <c r="A276" s="104" t="s">
        <v>2831</v>
      </c>
      <c r="B276" s="103" t="s">
        <v>59</v>
      </c>
      <c r="C276" s="103" t="s">
        <v>741</v>
      </c>
      <c r="D276" s="103" t="s">
        <v>2424</v>
      </c>
      <c r="E276" s="103" t="s">
        <v>2480</v>
      </c>
      <c r="F276" s="66" t="s">
        <v>2383</v>
      </c>
      <c r="G276" s="66" t="s">
        <v>2383</v>
      </c>
      <c r="H276" s="66" t="s">
        <v>2383</v>
      </c>
      <c r="J276" s="84">
        <v>46258</v>
      </c>
    </row>
    <row r="277" spans="1:11" hidden="1">
      <c r="A277" s="104" t="s">
        <v>2832</v>
      </c>
      <c r="B277" s="103" t="s">
        <v>89</v>
      </c>
      <c r="C277" s="103" t="s">
        <v>741</v>
      </c>
      <c r="D277" s="103" t="s">
        <v>2424</v>
      </c>
      <c r="E277" s="103" t="s">
        <v>2480</v>
      </c>
      <c r="F277" s="66" t="s">
        <v>2383</v>
      </c>
      <c r="G277" s="66" t="s">
        <v>2383</v>
      </c>
      <c r="H277" s="66" t="s">
        <v>2383</v>
      </c>
      <c r="J277" s="84">
        <v>46258</v>
      </c>
    </row>
    <row r="278" spans="1:11" hidden="1">
      <c r="A278" s="104" t="s">
        <v>2833</v>
      </c>
      <c r="B278" s="103" t="s">
        <v>89</v>
      </c>
      <c r="C278" s="103" t="s">
        <v>741</v>
      </c>
      <c r="D278" s="103" t="s">
        <v>2424</v>
      </c>
      <c r="E278" s="103" t="s">
        <v>2480</v>
      </c>
      <c r="F278" s="66" t="s">
        <v>2383</v>
      </c>
      <c r="G278" s="66" t="s">
        <v>2383</v>
      </c>
      <c r="H278" s="66" t="s">
        <v>2383</v>
      </c>
      <c r="J278" s="84">
        <v>46258</v>
      </c>
    </row>
    <row r="279" spans="1:11" hidden="1">
      <c r="A279" s="69" t="s">
        <v>2834</v>
      </c>
      <c r="B279" t="s">
        <v>82</v>
      </c>
      <c r="C279" t="s">
        <v>288</v>
      </c>
      <c r="D279" t="s">
        <v>2136</v>
      </c>
      <c r="E279" t="s">
        <v>2382</v>
      </c>
      <c r="F279" s="66" t="s">
        <v>2383</v>
      </c>
      <c r="G279" s="66" t="s">
        <v>2384</v>
      </c>
      <c r="H279" s="66" t="s">
        <v>2383</v>
      </c>
      <c r="J279" s="84">
        <v>46258</v>
      </c>
    </row>
    <row r="280" spans="1:11" s="103" customFormat="1" ht="29.1">
      <c r="A280" s="108" t="s">
        <v>2835</v>
      </c>
      <c r="B280" s="103" t="s">
        <v>82</v>
      </c>
      <c r="C280" s="103" t="s">
        <v>741</v>
      </c>
      <c r="D280" s="103" t="s">
        <v>228</v>
      </c>
      <c r="E280" s="103" t="s">
        <v>228</v>
      </c>
      <c r="F280" s="66" t="s">
        <v>2383</v>
      </c>
      <c r="G280" s="66">
        <v>1</v>
      </c>
      <c r="H280" s="66">
        <v>1</v>
      </c>
      <c r="I280" s="109" t="s">
        <v>2836</v>
      </c>
      <c r="J280" s="113">
        <v>46274</v>
      </c>
      <c r="K280" s="66"/>
    </row>
    <row r="281" spans="1:11" hidden="1">
      <c r="A281" t="s">
        <v>2837</v>
      </c>
      <c r="B281" s="103" t="s">
        <v>89</v>
      </c>
      <c r="C281" t="s">
        <v>288</v>
      </c>
      <c r="D281" t="s">
        <v>49</v>
      </c>
      <c r="E281" t="s">
        <v>2416</v>
      </c>
      <c r="F281" s="66" t="s">
        <v>2383</v>
      </c>
      <c r="G281" s="66" t="s">
        <v>2384</v>
      </c>
      <c r="H281" s="85" t="s">
        <v>2383</v>
      </c>
    </row>
    <row r="282" spans="1:11" hidden="1">
      <c r="A282" t="s">
        <v>2838</v>
      </c>
      <c r="B282" s="103" t="s">
        <v>89</v>
      </c>
      <c r="C282" t="s">
        <v>288</v>
      </c>
      <c r="D282" t="s">
        <v>49</v>
      </c>
      <c r="E282" s="89" t="s">
        <v>2405</v>
      </c>
      <c r="F282" s="66" t="s">
        <v>2383</v>
      </c>
      <c r="G282" s="66" t="s">
        <v>2384</v>
      </c>
      <c r="H282" s="85" t="s">
        <v>2383</v>
      </c>
    </row>
    <row r="283" spans="1:11" hidden="1">
      <c r="A283" t="s">
        <v>2839</v>
      </c>
      <c r="B283" s="103" t="s">
        <v>89</v>
      </c>
      <c r="C283" t="s">
        <v>288</v>
      </c>
      <c r="D283" t="s">
        <v>49</v>
      </c>
      <c r="E283" t="s">
        <v>610</v>
      </c>
      <c r="F283" s="66" t="s">
        <v>2383</v>
      </c>
      <c r="G283" s="66" t="s">
        <v>2384</v>
      </c>
      <c r="H283" s="66" t="s">
        <v>2383</v>
      </c>
    </row>
    <row r="284" spans="1:11" ht="87" hidden="1">
      <c r="A284" t="s">
        <v>2840</v>
      </c>
      <c r="B284" s="103" t="s">
        <v>89</v>
      </c>
      <c r="C284" t="s">
        <v>288</v>
      </c>
      <c r="D284" t="s">
        <v>49</v>
      </c>
      <c r="E284" t="s">
        <v>2397</v>
      </c>
      <c r="F284" s="66" t="s">
        <v>2383</v>
      </c>
      <c r="G284" s="66" t="s">
        <v>2384</v>
      </c>
      <c r="H284" s="66" t="s">
        <v>2383</v>
      </c>
      <c r="I284" s="69" t="s">
        <v>2841</v>
      </c>
      <c r="K284" s="84">
        <v>46282</v>
      </c>
    </row>
    <row r="285" spans="1:11" ht="116.1" hidden="1">
      <c r="A285" t="s">
        <v>2842</v>
      </c>
      <c r="B285" s="103" t="s">
        <v>89</v>
      </c>
      <c r="C285" t="s">
        <v>288</v>
      </c>
      <c r="D285" t="s">
        <v>49</v>
      </c>
      <c r="E285" t="s">
        <v>2393</v>
      </c>
      <c r="F285" s="66" t="s">
        <v>2383</v>
      </c>
      <c r="G285" s="66" t="s">
        <v>2384</v>
      </c>
      <c r="H285" s="66" t="s">
        <v>2383</v>
      </c>
      <c r="I285" s="69" t="s">
        <v>2843</v>
      </c>
      <c r="K285" s="84">
        <v>46282</v>
      </c>
    </row>
    <row r="286" spans="1:11" hidden="1">
      <c r="A286" t="s">
        <v>2844</v>
      </c>
      <c r="B286" s="103" t="s">
        <v>89</v>
      </c>
      <c r="C286" t="s">
        <v>288</v>
      </c>
      <c r="D286" t="s">
        <v>49</v>
      </c>
      <c r="E286" t="s">
        <v>2845</v>
      </c>
      <c r="F286" s="66" t="s">
        <v>2383</v>
      </c>
      <c r="G286" s="66" t="s">
        <v>2384</v>
      </c>
      <c r="H286" s="66" t="s">
        <v>2781</v>
      </c>
      <c r="I286" t="s">
        <v>2846</v>
      </c>
    </row>
    <row r="287" spans="1:11" hidden="1">
      <c r="A287" t="s">
        <v>2847</v>
      </c>
      <c r="B287" s="103" t="s">
        <v>89</v>
      </c>
      <c r="C287" t="s">
        <v>288</v>
      </c>
      <c r="D287" t="s">
        <v>49</v>
      </c>
      <c r="E287" t="s">
        <v>2848</v>
      </c>
      <c r="F287" s="66" t="s">
        <v>2383</v>
      </c>
      <c r="G287" s="66" t="s">
        <v>2384</v>
      </c>
      <c r="H287" s="66" t="s">
        <v>2383</v>
      </c>
    </row>
    <row r="288" spans="1:11" hidden="1">
      <c r="A288" t="s">
        <v>2849</v>
      </c>
      <c r="B288" s="103" t="s">
        <v>89</v>
      </c>
      <c r="C288" t="s">
        <v>288</v>
      </c>
      <c r="D288" t="s">
        <v>49</v>
      </c>
      <c r="E288" t="s">
        <v>2848</v>
      </c>
      <c r="F288" s="66" t="s">
        <v>2383</v>
      </c>
      <c r="G288" s="66" t="s">
        <v>2384</v>
      </c>
      <c r="H288" s="66" t="s">
        <v>2383</v>
      </c>
    </row>
    <row r="289" spans="1:11" ht="57.95" hidden="1">
      <c r="A289" t="s">
        <v>2850</v>
      </c>
      <c r="B289" s="103" t="s">
        <v>89</v>
      </c>
      <c r="C289" t="s">
        <v>2412</v>
      </c>
      <c r="D289" t="s">
        <v>49</v>
      </c>
      <c r="E289" t="s">
        <v>1546</v>
      </c>
      <c r="F289" s="85" t="s">
        <v>2383</v>
      </c>
      <c r="G289" s="85" t="s">
        <v>2687</v>
      </c>
      <c r="H289" s="66" t="s">
        <v>2383</v>
      </c>
      <c r="I289" s="69" t="s">
        <v>2851</v>
      </c>
      <c r="K289" s="84">
        <v>46282</v>
      </c>
    </row>
    <row r="290" spans="1:11" hidden="1">
      <c r="A290" t="s">
        <v>2852</v>
      </c>
      <c r="B290" s="103" t="s">
        <v>89</v>
      </c>
      <c r="C290" t="s">
        <v>288</v>
      </c>
      <c r="D290" t="s">
        <v>49</v>
      </c>
      <c r="E290" t="s">
        <v>2405</v>
      </c>
      <c r="F290"/>
      <c r="G290"/>
      <c r="H290" s="66" t="s">
        <v>2781</v>
      </c>
      <c r="I290" t="s">
        <v>2853</v>
      </c>
    </row>
    <row r="291" spans="1:11" hidden="1">
      <c r="A291" t="s">
        <v>2854</v>
      </c>
      <c r="B291" s="103" t="s">
        <v>89</v>
      </c>
      <c r="C291" t="s">
        <v>2412</v>
      </c>
      <c r="D291" t="s">
        <v>49</v>
      </c>
      <c r="E291" t="s">
        <v>1546</v>
      </c>
      <c r="F291"/>
      <c r="G291"/>
      <c r="H291" s="66" t="s">
        <v>2383</v>
      </c>
      <c r="I291" s="69" t="s">
        <v>2855</v>
      </c>
      <c r="K291" s="84">
        <v>46282</v>
      </c>
    </row>
    <row r="292" spans="1:11" ht="29.1" hidden="1">
      <c r="A292" t="s">
        <v>2856</v>
      </c>
      <c r="B292" t="s">
        <v>89</v>
      </c>
      <c r="C292" t="s">
        <v>288</v>
      </c>
      <c r="D292" t="s">
        <v>49</v>
      </c>
      <c r="E292" s="89" t="s">
        <v>2405</v>
      </c>
      <c r="F292" s="85" t="s">
        <v>2383</v>
      </c>
      <c r="G292" s="85" t="s">
        <v>2384</v>
      </c>
      <c r="H292" s="66" t="s">
        <v>2383</v>
      </c>
      <c r="I292" s="69" t="s">
        <v>2857</v>
      </c>
      <c r="J292" s="84">
        <v>46267</v>
      </c>
      <c r="K292" s="84">
        <v>46276</v>
      </c>
    </row>
    <row r="293" spans="1:11" ht="43.5" hidden="1">
      <c r="A293" t="s">
        <v>2858</v>
      </c>
      <c r="B293" t="s">
        <v>59</v>
      </c>
      <c r="C293" t="s">
        <v>288</v>
      </c>
      <c r="D293" t="s">
        <v>2136</v>
      </c>
      <c r="E293" t="s">
        <v>2382</v>
      </c>
      <c r="F293" s="85" t="s">
        <v>2383</v>
      </c>
      <c r="G293" s="85" t="s">
        <v>2384</v>
      </c>
      <c r="H293" s="66" t="s">
        <v>2383</v>
      </c>
      <c r="I293" s="69" t="s">
        <v>2859</v>
      </c>
      <c r="K293" s="84">
        <v>46276</v>
      </c>
    </row>
    <row r="294" spans="1:11" ht="231.95" hidden="1">
      <c r="A294" s="69" t="s">
        <v>2860</v>
      </c>
      <c r="B294" t="s">
        <v>82</v>
      </c>
      <c r="C294" t="s">
        <v>288</v>
      </c>
      <c r="D294" t="s">
        <v>2136</v>
      </c>
      <c r="E294" t="s">
        <v>2386</v>
      </c>
      <c r="F294" s="85" t="s">
        <v>2781</v>
      </c>
      <c r="G294" s="85" t="s">
        <v>2384</v>
      </c>
      <c r="H294" s="66" t="s">
        <v>2383</v>
      </c>
      <c r="I294" s="69" t="s">
        <v>2861</v>
      </c>
    </row>
    <row r="295" spans="1:11" ht="231.95" hidden="1">
      <c r="A295" s="69" t="s">
        <v>2862</v>
      </c>
      <c r="B295" t="s">
        <v>82</v>
      </c>
      <c r="C295" t="s">
        <v>288</v>
      </c>
      <c r="D295" t="s">
        <v>2136</v>
      </c>
      <c r="E295" t="s">
        <v>2382</v>
      </c>
      <c r="F295" s="85" t="s">
        <v>2781</v>
      </c>
      <c r="G295" s="85" t="s">
        <v>2384</v>
      </c>
      <c r="H295" s="66" t="s">
        <v>2383</v>
      </c>
      <c r="I295" s="69" t="s">
        <v>2861</v>
      </c>
    </row>
    <row r="296" spans="1:11" hidden="1">
      <c r="A296" t="s">
        <v>2863</v>
      </c>
      <c r="B296" t="s">
        <v>89</v>
      </c>
      <c r="C296" t="s">
        <v>741</v>
      </c>
      <c r="D296" t="s">
        <v>2480</v>
      </c>
      <c r="E296" s="89" t="s">
        <v>2405</v>
      </c>
      <c r="F296" s="66" t="s">
        <v>2383</v>
      </c>
      <c r="G296" s="66" t="s">
        <v>2383</v>
      </c>
      <c r="H296" s="66" t="s">
        <v>2383</v>
      </c>
    </row>
    <row r="297" spans="1:11" ht="116.1" hidden="1">
      <c r="A297" s="69" t="s">
        <v>2864</v>
      </c>
      <c r="B297" t="s">
        <v>89</v>
      </c>
      <c r="C297" t="s">
        <v>2412</v>
      </c>
      <c r="D297" t="s">
        <v>49</v>
      </c>
      <c r="E297" t="s">
        <v>2416</v>
      </c>
      <c r="F297" t="s">
        <v>2383</v>
      </c>
      <c r="G297" t="s">
        <v>2383</v>
      </c>
      <c r="H297" s="66" t="s">
        <v>2383</v>
      </c>
      <c r="I297" s="69" t="s">
        <v>2861</v>
      </c>
      <c r="K297" s="84">
        <v>46282</v>
      </c>
    </row>
    <row r="298" spans="1:11" ht="72.599999999999994">
      <c r="A298" s="69" t="s">
        <v>2865</v>
      </c>
      <c r="B298" t="s">
        <v>89</v>
      </c>
      <c r="C298" t="s">
        <v>2412</v>
      </c>
      <c r="D298" t="s">
        <v>49</v>
      </c>
      <c r="E298" t="s">
        <v>2416</v>
      </c>
      <c r="F298" t="s">
        <v>2383</v>
      </c>
      <c r="G298" t="s">
        <v>2383</v>
      </c>
      <c r="H298" s="66">
        <v>1</v>
      </c>
      <c r="I298" s="69" t="s">
        <v>2866</v>
      </c>
    </row>
    <row r="299" spans="1:11" ht="29.1" hidden="1">
      <c r="A299" t="s">
        <v>2867</v>
      </c>
      <c r="B299" t="s">
        <v>89</v>
      </c>
      <c r="C299" t="s">
        <v>288</v>
      </c>
      <c r="D299" t="s">
        <v>2136</v>
      </c>
      <c r="E299" t="s">
        <v>2382</v>
      </c>
      <c r="F299"/>
      <c r="G299"/>
      <c r="H299" s="66" t="s">
        <v>2781</v>
      </c>
      <c r="I299" s="69" t="s">
        <v>2868</v>
      </c>
      <c r="J299" s="84">
        <v>46269</v>
      </c>
    </row>
    <row r="300" spans="1:11" ht="72.599999999999994">
      <c r="A300" s="79" t="s">
        <v>2869</v>
      </c>
      <c r="B300" t="s">
        <v>82</v>
      </c>
      <c r="C300" t="s">
        <v>2388</v>
      </c>
      <c r="D300" t="s">
        <v>2136</v>
      </c>
      <c r="E300" t="s">
        <v>2382</v>
      </c>
      <c r="F300"/>
      <c r="G300"/>
      <c r="H300" s="66">
        <v>1</v>
      </c>
      <c r="J300" s="84">
        <v>46269</v>
      </c>
    </row>
    <row r="301" spans="1:11" ht="43.5">
      <c r="A301" s="104" t="s">
        <v>2430</v>
      </c>
      <c r="B301" s="107" t="s">
        <v>82</v>
      </c>
      <c r="C301" s="107" t="s">
        <v>741</v>
      </c>
      <c r="D301" s="107" t="s">
        <v>228</v>
      </c>
      <c r="E301" s="107" t="s">
        <v>228</v>
      </c>
      <c r="F301" s="66" t="s">
        <v>2383</v>
      </c>
      <c r="G301" s="66">
        <v>1</v>
      </c>
      <c r="H301" s="66">
        <v>1</v>
      </c>
      <c r="I301" s="111" t="s">
        <v>2870</v>
      </c>
      <c r="J301" s="113">
        <v>46269</v>
      </c>
      <c r="K301" s="66"/>
    </row>
    <row r="302" spans="1:11">
      <c r="A302" s="112" t="s">
        <v>2432</v>
      </c>
      <c r="B302" s="107" t="s">
        <v>82</v>
      </c>
      <c r="C302" s="107" t="s">
        <v>741</v>
      </c>
      <c r="D302" s="107" t="s">
        <v>228</v>
      </c>
      <c r="E302" s="107" t="s">
        <v>228</v>
      </c>
      <c r="F302" s="66" t="s">
        <v>2383</v>
      </c>
      <c r="G302" s="66">
        <v>1</v>
      </c>
      <c r="H302" s="66">
        <v>1</v>
      </c>
      <c r="I302" s="125" t="s">
        <v>2871</v>
      </c>
      <c r="J302" s="113">
        <v>46269</v>
      </c>
      <c r="K302" s="66"/>
    </row>
    <row r="303" spans="1:11" hidden="1">
      <c r="A303" s="69" t="s">
        <v>2872</v>
      </c>
      <c r="B303" t="s">
        <v>89</v>
      </c>
      <c r="C303" t="s">
        <v>288</v>
      </c>
      <c r="D303" t="s">
        <v>2136</v>
      </c>
      <c r="E303" t="s">
        <v>2397</v>
      </c>
      <c r="F303" s="85" t="s">
        <v>2781</v>
      </c>
      <c r="G303" s="85" t="s">
        <v>2384</v>
      </c>
      <c r="H303" s="66" t="s">
        <v>2383</v>
      </c>
      <c r="J303" s="84">
        <v>46269</v>
      </c>
    </row>
    <row r="304" spans="1:11" ht="29.1">
      <c r="A304" s="79" t="s">
        <v>2873</v>
      </c>
      <c r="B304" t="s">
        <v>82</v>
      </c>
      <c r="C304" t="s">
        <v>288</v>
      </c>
      <c r="D304" t="s">
        <v>2136</v>
      </c>
      <c r="E304" t="s">
        <v>2397</v>
      </c>
      <c r="F304" s="85" t="s">
        <v>2781</v>
      </c>
      <c r="G304" s="85" t="s">
        <v>2384</v>
      </c>
      <c r="H304" s="66">
        <v>1</v>
      </c>
      <c r="J304" s="84">
        <v>46269</v>
      </c>
    </row>
    <row r="305" spans="1:11" ht="43.5" hidden="1">
      <c r="A305" t="s">
        <v>2874</v>
      </c>
      <c r="B305" t="s">
        <v>59</v>
      </c>
      <c r="C305" t="s">
        <v>288</v>
      </c>
      <c r="D305" t="s">
        <v>2136</v>
      </c>
      <c r="E305" t="s">
        <v>2386</v>
      </c>
      <c r="F305" s="85" t="s">
        <v>2781</v>
      </c>
      <c r="G305" s="85" t="s">
        <v>2384</v>
      </c>
      <c r="H305" s="66" t="s">
        <v>2383</v>
      </c>
      <c r="I305" s="69" t="s">
        <v>2875</v>
      </c>
      <c r="J305" s="84">
        <v>46269</v>
      </c>
    </row>
    <row r="306" spans="1:11">
      <c r="A306" s="79" t="s">
        <v>2876</v>
      </c>
      <c r="B306" t="s">
        <v>82</v>
      </c>
      <c r="C306" t="s">
        <v>288</v>
      </c>
      <c r="D306" t="s">
        <v>49</v>
      </c>
      <c r="E306" t="s">
        <v>2393</v>
      </c>
      <c r="F306" s="85" t="s">
        <v>2781</v>
      </c>
      <c r="G306" s="85" t="s">
        <v>2384</v>
      </c>
      <c r="H306" s="66">
        <v>1</v>
      </c>
      <c r="I306" s="69" t="s">
        <v>2877</v>
      </c>
      <c r="J306" s="84">
        <v>46242</v>
      </c>
    </row>
    <row r="307" spans="1:11" ht="57.95">
      <c r="A307" s="69" t="s">
        <v>2878</v>
      </c>
      <c r="B307" t="s">
        <v>82</v>
      </c>
      <c r="C307" t="s">
        <v>288</v>
      </c>
      <c r="D307" t="s">
        <v>49</v>
      </c>
      <c r="E307" t="s">
        <v>2405</v>
      </c>
      <c r="F307" s="85" t="s">
        <v>2781</v>
      </c>
      <c r="G307" s="85" t="s">
        <v>2384</v>
      </c>
      <c r="H307" s="66" t="s">
        <v>2383</v>
      </c>
      <c r="I307" s="69" t="s">
        <v>2879</v>
      </c>
      <c r="J307" s="84">
        <v>46273</v>
      </c>
      <c r="K307" s="113">
        <v>46282</v>
      </c>
    </row>
    <row r="308" spans="1:11">
      <c r="A308" s="69" t="s">
        <v>2880</v>
      </c>
      <c r="B308" t="s">
        <v>82</v>
      </c>
      <c r="C308" t="s">
        <v>2404</v>
      </c>
      <c r="D308" t="s">
        <v>49</v>
      </c>
      <c r="E308" t="s">
        <v>2405</v>
      </c>
      <c r="F308"/>
      <c r="G308"/>
      <c r="H308" s="66">
        <v>1</v>
      </c>
      <c r="J308" s="84">
        <v>46273</v>
      </c>
    </row>
    <row r="309" spans="1:11">
      <c r="A309" s="69" t="s">
        <v>2881</v>
      </c>
      <c r="B309" t="s">
        <v>82</v>
      </c>
      <c r="C309" t="s">
        <v>741</v>
      </c>
      <c r="D309" t="s">
        <v>49</v>
      </c>
      <c r="E309" t="s">
        <v>2427</v>
      </c>
      <c r="F309" s="85" t="s">
        <v>2383</v>
      </c>
      <c r="G309"/>
      <c r="H309" s="66">
        <v>1</v>
      </c>
      <c r="J309" s="84">
        <v>46279</v>
      </c>
    </row>
    <row r="310" spans="1:11" ht="29.1">
      <c r="A310" s="103" t="s">
        <v>2882</v>
      </c>
      <c r="B310" t="s">
        <v>59</v>
      </c>
      <c r="C310" t="s">
        <v>741</v>
      </c>
      <c r="D310" s="103" t="s">
        <v>2424</v>
      </c>
      <c r="E310" s="103" t="s">
        <v>2424</v>
      </c>
      <c r="F310" s="66" t="s">
        <v>2383</v>
      </c>
      <c r="G310" s="66" t="s">
        <v>2383</v>
      </c>
      <c r="H310" s="66" t="s">
        <v>2383</v>
      </c>
      <c r="I310" s="111" t="s">
        <v>2883</v>
      </c>
      <c r="J310" s="113">
        <v>46279</v>
      </c>
      <c r="K310" s="113">
        <v>46282</v>
      </c>
    </row>
    <row r="311" spans="1:11" ht="29.1">
      <c r="A311" s="104" t="s">
        <v>2434</v>
      </c>
      <c r="B311" s="103" t="s">
        <v>89</v>
      </c>
      <c r="C311" s="103" t="s">
        <v>741</v>
      </c>
      <c r="D311" s="103" t="s">
        <v>2424</v>
      </c>
      <c r="E311" s="103" t="s">
        <v>2424</v>
      </c>
      <c r="F311" s="66" t="s">
        <v>2383</v>
      </c>
      <c r="G311" s="66" t="s">
        <v>2383</v>
      </c>
      <c r="H311" s="66" t="s">
        <v>2383</v>
      </c>
      <c r="I311" s="111" t="s">
        <v>2435</v>
      </c>
      <c r="J311" s="113">
        <v>46279</v>
      </c>
      <c r="K311" s="113">
        <v>46286</v>
      </c>
    </row>
    <row r="312" spans="1:11" ht="29.1">
      <c r="A312" s="104" t="s">
        <v>2436</v>
      </c>
      <c r="B312" s="103" t="s">
        <v>59</v>
      </c>
      <c r="C312" s="103" t="s">
        <v>741</v>
      </c>
      <c r="D312" s="103" t="s">
        <v>2424</v>
      </c>
      <c r="E312" s="103" t="s">
        <v>2424</v>
      </c>
      <c r="F312" s="66" t="s">
        <v>2383</v>
      </c>
      <c r="G312" s="66" t="s">
        <v>2383</v>
      </c>
      <c r="H312" s="66" t="s">
        <v>2383</v>
      </c>
      <c r="I312" s="111" t="s">
        <v>2435</v>
      </c>
      <c r="J312" s="113">
        <v>46279</v>
      </c>
      <c r="K312" s="113">
        <v>46286</v>
      </c>
    </row>
    <row r="313" spans="1:11">
      <c r="A313" t="s">
        <v>2884</v>
      </c>
      <c r="B313" t="s">
        <v>82</v>
      </c>
      <c r="C313" t="s">
        <v>2412</v>
      </c>
      <c r="D313" t="s">
        <v>228</v>
      </c>
      <c r="E313" s="103" t="s">
        <v>228</v>
      </c>
      <c r="H313" s="66">
        <v>1</v>
      </c>
      <c r="J313" s="84">
        <v>46275</v>
      </c>
    </row>
    <row r="314" spans="1:11">
      <c r="A314" t="s">
        <v>2885</v>
      </c>
      <c r="B314" t="s">
        <v>82</v>
      </c>
      <c r="C314" t="s">
        <v>2412</v>
      </c>
      <c r="D314" t="s">
        <v>49</v>
      </c>
      <c r="E314" t="s">
        <v>1546</v>
      </c>
      <c r="H314" s="66">
        <v>1</v>
      </c>
      <c r="J314" s="84">
        <v>46276</v>
      </c>
    </row>
    <row r="315" spans="1:11">
      <c r="A315" t="s">
        <v>2886</v>
      </c>
      <c r="B315" t="s">
        <v>82</v>
      </c>
      <c r="C315" t="s">
        <v>288</v>
      </c>
      <c r="D315" t="s">
        <v>2136</v>
      </c>
      <c r="E315" s="103" t="s">
        <v>2386</v>
      </c>
      <c r="H315" s="66">
        <v>1</v>
      </c>
      <c r="J315" s="84">
        <v>46282</v>
      </c>
    </row>
    <row r="316" spans="1:11">
      <c r="A316" t="s">
        <v>2887</v>
      </c>
      <c r="B316" t="s">
        <v>82</v>
      </c>
      <c r="C316" t="s">
        <v>2412</v>
      </c>
      <c r="D316" t="s">
        <v>49</v>
      </c>
      <c r="E316" s="103" t="s">
        <v>2416</v>
      </c>
      <c r="H316" s="66">
        <v>1</v>
      </c>
      <c r="J316" s="84">
        <v>46282</v>
      </c>
    </row>
    <row r="317" spans="1:11">
      <c r="A317" t="s">
        <v>2888</v>
      </c>
      <c r="B317" t="s">
        <v>82</v>
      </c>
      <c r="C317" t="s">
        <v>288</v>
      </c>
      <c r="D317" t="s">
        <v>49</v>
      </c>
      <c r="E317" s="103" t="s">
        <v>610</v>
      </c>
      <c r="H317" s="66">
        <v>1</v>
      </c>
      <c r="J317" s="84">
        <v>46282</v>
      </c>
    </row>
  </sheetData>
  <autoFilter ref="A1:K317" xr:uid="{99E0EAC1-F8E7-44CF-82F7-BC1A303EA91B}">
    <filterColumn colId="7">
      <filters>
        <filter val="1"/>
      </filters>
    </filterColumn>
  </autoFilter>
  <hyperlinks>
    <hyperlink ref="A210" r:id="rId1" xr:uid="{E9F64C0A-6D3E-423B-82D9-175B519EEE58}"/>
    <hyperlink ref="A271" r:id="rId2" xr:uid="{204EC011-7D3F-4089-BF56-AD1893EA1464}"/>
    <hyperlink ref="A272" r:id="rId3" display="[UI/UX][Global: Exportar como] El ComboBox &quot;Exportar como&quot; no está descompuesto en botones secundarios independientes en Elementos y Conversiones" xr:uid="{A340A399-9D97-429C-8645-F09859023062}"/>
    <hyperlink ref="A273" r:id="rId4" xr:uid="{F1D371D5-783C-408C-BE65-0E8373F9EF72}"/>
    <hyperlink ref="A274" r:id="rId5" xr:uid="{D037C701-68EF-415F-9788-F1E7D6F80B74}"/>
    <hyperlink ref="A275" r:id="rId6" xr:uid="{34A9362A-3A21-4721-AB06-F703085B6B42}"/>
    <hyperlink ref="A276" r:id="rId7" xr:uid="{FCE4E5D9-4A13-47B0-9A76-95381E4D8EAF}"/>
    <hyperlink ref="A277" r:id="rId8" xr:uid="{60F1A2B3-FBF1-40C8-A6BB-566F53333906}"/>
    <hyperlink ref="A278" r:id="rId9" xr:uid="{FBB958B6-A8CC-48CB-B89C-BD7F4E7AAE5A}"/>
    <hyperlink ref="A280" r:id="rId10" xr:uid="{965AB57A-7319-4706-ADCC-9F13C66C626E}"/>
    <hyperlink ref="A301" r:id="rId11" display="https://falabella.atlassian.net/browse/STM-1742" xr:uid="{663DA198-E60E-4B59-8D18-1879D0FABAFA}"/>
    <hyperlink ref="A302" r:id="rId12" display="https://falabella.atlassian.net/browse/STM-1744" xr:uid="{CC22177A-EE0B-42B7-BFFC-E6FC090C3542}"/>
    <hyperlink ref="A311" r:id="rId13" xr:uid="{906E9BD4-15D4-447A-BA9E-2DF4DD56DF75}"/>
    <hyperlink ref="A312" r:id="rId14" xr:uid="{0F830342-D471-415A-88C2-BC78242645C1}"/>
  </hyperlinks>
  <pageMargins left="0.7" right="0.7" top="0.75" bottom="0.75" header="0.3" footer="0.3"/>
  <legacyDrawing r:id="rId1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2026-04-29T21:39:39Z</dcterms:created>
  <dcterms:modified xsi:type="dcterms:W3CDTF">2026-09-28T15:52:43Z</dcterms:modified>
  <cp:category/>
  <cp:contentStatus/>
</cp:coreProperties>
</file>